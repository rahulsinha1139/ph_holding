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d.docs.live.net/224df111c5f0506d/2020 onwards/Offers/Endress Hauser Offer/Offers 2026/51-100/EH 53-26 BAPCO REFINING LIT/OFFER/"/>
    </mc:Choice>
  </mc:AlternateContent>
  <xr:revisionPtr revIDLastSave="23" documentId="13_ncr:1_{40F25E15-F4E0-4989-A812-20F281ED763E}" xr6:coauthVersionLast="47" xr6:coauthVersionMax="47" xr10:uidLastSave="{4677F154-D58E-49DD-921E-085A1D768E74}"/>
  <bookViews>
    <workbookView xWindow="-108" yWindow="-108" windowWidth="23256" windowHeight="12456" firstSheet="1" activeTab="1" xr2:uid="{00000000-000D-0000-FFFF-FFFF00000000}"/>
  </bookViews>
  <sheets>
    <sheet name="Final Quotation" sheetId="1" r:id="rId1"/>
    <sheet name="Customer Costing" sheetId="5" r:id="rId2"/>
    <sheet name="Internal Quotation" sheetId="7" r:id="rId3"/>
    <sheet name="PH to AHS" sheetId="6" r:id="rId4"/>
    <sheet name="Code" sheetId="4" r:id="rId5"/>
    <sheet name="Customer Database" sheetId="3" r:id="rId6"/>
  </sheets>
  <definedNames>
    <definedName name="_xlnm._FilterDatabase" localSheetId="4" hidden="1">Code!$I$1:$I$317</definedName>
    <definedName name="_xlnm._FilterDatabase" localSheetId="5" hidden="1">'Customer Database'!$A$1:$H$555</definedName>
    <definedName name="Image1">Code!$A$31</definedName>
    <definedName name="Image2">Code!$A$32</definedName>
    <definedName name="_xlnm.Print_Area" localSheetId="0">'Final Quotation'!$A$1:$E$41</definedName>
    <definedName name="_xlnm.Print_Area" localSheetId="2">'Internal Quotation'!$A$1:$E$41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5" l="1"/>
  <c r="D16" i="5" s="1"/>
  <c r="E14" i="5"/>
  <c r="C14" i="5"/>
  <c r="D13" i="5"/>
  <c r="E13" i="5"/>
  <c r="F13" i="5"/>
  <c r="G13" i="5"/>
  <c r="H13" i="5"/>
  <c r="I13" i="5"/>
  <c r="J13" i="5"/>
  <c r="K13" i="5"/>
  <c r="L13" i="5"/>
  <c r="M13" i="5"/>
  <c r="N13" i="5"/>
  <c r="D15" i="5"/>
  <c r="E15" i="5"/>
  <c r="F15" i="5"/>
  <c r="G15" i="5"/>
  <c r="H15" i="5"/>
  <c r="I15" i="5"/>
  <c r="J15" i="5"/>
  <c r="K15" i="5"/>
  <c r="L15" i="5"/>
  <c r="M15" i="5"/>
  <c r="N15" i="5"/>
  <c r="C15" i="5"/>
  <c r="C13" i="5"/>
  <c r="H17" i="5"/>
  <c r="H18" i="5" s="1"/>
  <c r="E16" i="5"/>
  <c r="F14" i="5"/>
  <c r="F16" i="5" s="1"/>
  <c r="G14" i="5"/>
  <c r="G16" i="5" s="1"/>
  <c r="H14" i="5"/>
  <c r="H16" i="5" s="1"/>
  <c r="O15" i="5" l="1"/>
  <c r="O13" i="5"/>
  <c r="C16" i="5"/>
  <c r="H19" i="5"/>
  <c r="H20" i="5"/>
  <c r="H22" i="5" s="1"/>
  <c r="H29" i="7"/>
  <c r="B28" i="7"/>
  <c r="B27" i="7"/>
  <c r="B26" i="7"/>
  <c r="B25" i="7"/>
  <c r="B24" i="7"/>
  <c r="B23" i="7"/>
  <c r="B22" i="7"/>
  <c r="B21" i="7"/>
  <c r="B20" i="7"/>
  <c r="B19" i="7"/>
  <c r="B18" i="7"/>
  <c r="B17" i="7"/>
  <c r="O23" i="6"/>
  <c r="O18" i="6"/>
  <c r="L17" i="6"/>
  <c r="L19" i="6" s="1"/>
  <c r="N14" i="6"/>
  <c r="N15" i="6" s="1"/>
  <c r="M14" i="6"/>
  <c r="M15" i="6" s="1"/>
  <c r="L14" i="6"/>
  <c r="L15" i="6" s="1"/>
  <c r="K14" i="6"/>
  <c r="K15" i="6" s="1"/>
  <c r="J14" i="6"/>
  <c r="J15" i="6" s="1"/>
  <c r="I14" i="6"/>
  <c r="I15" i="6" s="1"/>
  <c r="H14" i="6"/>
  <c r="H15" i="6" s="1"/>
  <c r="G14" i="6"/>
  <c r="G15" i="6" s="1"/>
  <c r="F14" i="6"/>
  <c r="F15" i="6" s="1"/>
  <c r="E14" i="6"/>
  <c r="E15" i="6" s="1"/>
  <c r="D14" i="6"/>
  <c r="D15" i="6" s="1"/>
  <c r="C14" i="6"/>
  <c r="C15" i="6" s="1"/>
  <c r="N13" i="6"/>
  <c r="N16" i="6" s="1"/>
  <c r="M13" i="6"/>
  <c r="M16" i="6" s="1"/>
  <c r="L13" i="6"/>
  <c r="L16" i="6" s="1"/>
  <c r="K13" i="6"/>
  <c r="K16" i="6" s="1"/>
  <c r="J13" i="6"/>
  <c r="J16" i="6" s="1"/>
  <c r="I13" i="6"/>
  <c r="I16" i="6" s="1"/>
  <c r="H13" i="6"/>
  <c r="H16" i="6" s="1"/>
  <c r="G13" i="6"/>
  <c r="G16" i="6" s="1"/>
  <c r="F13" i="6"/>
  <c r="F16" i="6" s="1"/>
  <c r="E13" i="6"/>
  <c r="E16" i="6" s="1"/>
  <c r="D13" i="6"/>
  <c r="D16" i="6" s="1"/>
  <c r="C13" i="6"/>
  <c r="C16" i="6" s="1"/>
  <c r="O12" i="6"/>
  <c r="B2" i="6"/>
  <c r="D28" i="7"/>
  <c r="D27" i="7"/>
  <c r="D26" i="7"/>
  <c r="D25" i="7"/>
  <c r="D24" i="7"/>
  <c r="D23" i="7"/>
  <c r="D22" i="7"/>
  <c r="D21" i="7"/>
  <c r="D20" i="7"/>
  <c r="D19" i="7"/>
  <c r="D18" i="7"/>
  <c r="D17" i="7"/>
  <c r="H23" i="5" l="1"/>
  <c r="H24" i="5" s="1"/>
  <c r="M17" i="6"/>
  <c r="N17" i="6"/>
  <c r="N19" i="6" s="1"/>
  <c r="N20" i="6" s="1"/>
  <c r="O16" i="6"/>
  <c r="F17" i="6"/>
  <c r="O15" i="6"/>
  <c r="C17" i="6"/>
  <c r="D17" i="6"/>
  <c r="E17" i="6"/>
  <c r="F19" i="6"/>
  <c r="F20" i="6" s="1"/>
  <c r="M19" i="6"/>
  <c r="M20" i="6" s="1"/>
  <c r="O13" i="6"/>
  <c r="L20" i="6"/>
  <c r="G17" i="6"/>
  <c r="H17" i="6"/>
  <c r="I17" i="6"/>
  <c r="J17" i="6"/>
  <c r="K17" i="6"/>
  <c r="O21" i="5"/>
  <c r="D28" i="1"/>
  <c r="D27" i="1"/>
  <c r="B28" i="1"/>
  <c r="B27" i="1"/>
  <c r="E6" i="7"/>
  <c r="H29" i="1"/>
  <c r="D17" i="5"/>
  <c r="E17" i="5"/>
  <c r="F17" i="5"/>
  <c r="G17" i="5"/>
  <c r="I17" i="5"/>
  <c r="I18" i="5" s="1"/>
  <c r="J17" i="5"/>
  <c r="K17" i="5"/>
  <c r="K18" i="5" s="1"/>
  <c r="L17" i="5"/>
  <c r="L18" i="5" s="1"/>
  <c r="M17" i="5"/>
  <c r="M19" i="5" s="1"/>
  <c r="N17" i="5"/>
  <c r="N18" i="5" s="1"/>
  <c r="C17" i="5"/>
  <c r="C18" i="5" s="1"/>
  <c r="O12" i="5"/>
  <c r="N14" i="5"/>
  <c r="N16" i="5" s="1"/>
  <c r="M14" i="5"/>
  <c r="M16" i="5" s="1"/>
  <c r="B30" i="7"/>
  <c r="I17" i="7"/>
  <c r="I16" i="7"/>
  <c r="I15" i="7"/>
  <c r="I14" i="7"/>
  <c r="I13" i="7"/>
  <c r="I12" i="7"/>
  <c r="I11" i="7"/>
  <c r="I10" i="7"/>
  <c r="A10" i="7"/>
  <c r="I9" i="7"/>
  <c r="I7" i="7"/>
  <c r="E7" i="7"/>
  <c r="H25" i="7" s="1"/>
  <c r="I6" i="7"/>
  <c r="A6" i="7"/>
  <c r="A5" i="7"/>
  <c r="E4" i="7"/>
  <c r="A4" i="7"/>
  <c r="A3" i="7"/>
  <c r="D23" i="1"/>
  <c r="D22" i="1"/>
  <c r="K295" i="4"/>
  <c r="K118" i="4"/>
  <c r="K294" i="4"/>
  <c r="K293" i="4"/>
  <c r="E6" i="1"/>
  <c r="A3" i="1"/>
  <c r="A6" i="1"/>
  <c r="A5" i="1"/>
  <c r="A4" i="1"/>
  <c r="B17" i="1"/>
  <c r="B18" i="1"/>
  <c r="B19" i="1"/>
  <c r="B20" i="1"/>
  <c r="B21" i="1"/>
  <c r="B22" i="1"/>
  <c r="B23" i="1"/>
  <c r="B24" i="1"/>
  <c r="B25" i="1"/>
  <c r="B26" i="1"/>
  <c r="B29" i="1"/>
  <c r="B30" i="1"/>
  <c r="A10" i="1"/>
  <c r="D17" i="1"/>
  <c r="L14" i="5"/>
  <c r="L16" i="5" s="1"/>
  <c r="K14" i="5"/>
  <c r="K16" i="5" s="1"/>
  <c r="J14" i="5"/>
  <c r="J16" i="5" s="1"/>
  <c r="I14" i="5"/>
  <c r="I16" i="5" s="1"/>
  <c r="I14" i="1"/>
  <c r="I17" i="1"/>
  <c r="I15" i="1"/>
  <c r="I16" i="1"/>
  <c r="I7" i="1"/>
  <c r="I9" i="1"/>
  <c r="H25" i="5" l="1"/>
  <c r="H27" i="5" s="1"/>
  <c r="H28" i="5" s="1"/>
  <c r="H29" i="5" s="1"/>
  <c r="H30" i="5" s="1"/>
  <c r="H31" i="5" s="1"/>
  <c r="I19" i="5"/>
  <c r="I20" i="5" s="1"/>
  <c r="I22" i="5" s="1"/>
  <c r="I23" i="5" s="1"/>
  <c r="K19" i="5"/>
  <c r="K20" i="5" s="1"/>
  <c r="K22" i="5" s="1"/>
  <c r="K23" i="5" s="1"/>
  <c r="L19" i="5"/>
  <c r="L20" i="5" s="1"/>
  <c r="L22" i="5" s="1"/>
  <c r="L23" i="5" s="1"/>
  <c r="N22" i="6"/>
  <c r="N21" i="6"/>
  <c r="F22" i="6"/>
  <c r="F21" i="6"/>
  <c r="L22" i="6"/>
  <c r="L21" i="6"/>
  <c r="K19" i="6"/>
  <c r="K20" i="6"/>
  <c r="J19" i="6"/>
  <c r="J20" i="6" s="1"/>
  <c r="M22" i="6"/>
  <c r="M21" i="6"/>
  <c r="I19" i="6"/>
  <c r="I20" i="6" s="1"/>
  <c r="E19" i="6"/>
  <c r="E20" i="6" s="1"/>
  <c r="H19" i="6"/>
  <c r="H20" i="6" s="1"/>
  <c r="D19" i="6"/>
  <c r="D20" i="6" s="1"/>
  <c r="G19" i="6"/>
  <c r="G20" i="6" s="1"/>
  <c r="C19" i="6"/>
  <c r="O17" i="6"/>
  <c r="M18" i="5"/>
  <c r="N19" i="5"/>
  <c r="N20" i="5" s="1"/>
  <c r="H28" i="7"/>
  <c r="H27" i="7"/>
  <c r="H26" i="7"/>
  <c r="J19" i="5"/>
  <c r="J18" i="5"/>
  <c r="O19" i="6" l="1"/>
  <c r="D22" i="6"/>
  <c r="D21" i="6"/>
  <c r="H21" i="6"/>
  <c r="H22" i="6"/>
  <c r="E22" i="6"/>
  <c r="E21" i="6"/>
  <c r="J21" i="6"/>
  <c r="J22" i="6"/>
  <c r="G21" i="6"/>
  <c r="G22" i="6"/>
  <c r="K21" i="6"/>
  <c r="K22" i="6"/>
  <c r="I21" i="6"/>
  <c r="I22" i="6"/>
  <c r="C20" i="6"/>
  <c r="M20" i="5"/>
  <c r="M22" i="5" s="1"/>
  <c r="M23" i="5" s="1"/>
  <c r="J20" i="5"/>
  <c r="J22" i="5" s="1"/>
  <c r="J23" i="5" s="1"/>
  <c r="N22" i="5"/>
  <c r="N23" i="5" s="1"/>
  <c r="L25" i="5"/>
  <c r="L24" i="5"/>
  <c r="K25" i="5"/>
  <c r="K24" i="5"/>
  <c r="I25" i="5"/>
  <c r="I24" i="5"/>
  <c r="I12" i="1"/>
  <c r="I13" i="1"/>
  <c r="I11" i="1"/>
  <c r="I10" i="1"/>
  <c r="I6" i="1"/>
  <c r="O16" i="5" l="1"/>
  <c r="O14" i="5"/>
  <c r="O26" i="5"/>
  <c r="C22" i="6"/>
  <c r="O22" i="6" s="1"/>
  <c r="C21" i="6"/>
  <c r="O21" i="6" s="1"/>
  <c r="O20" i="6"/>
  <c r="M25" i="5"/>
  <c r="M24" i="5"/>
  <c r="N24" i="5"/>
  <c r="N25" i="5"/>
  <c r="L27" i="5"/>
  <c r="L28" i="5" s="1"/>
  <c r="L29" i="5" s="1"/>
  <c r="I27" i="5"/>
  <c r="I28" i="5" s="1"/>
  <c r="I29" i="5" s="1"/>
  <c r="K27" i="5"/>
  <c r="K28" i="5" s="1"/>
  <c r="K29" i="5" s="1"/>
  <c r="J25" i="5"/>
  <c r="J24" i="5"/>
  <c r="K30" i="5" l="1"/>
  <c r="K31" i="5" s="1"/>
  <c r="K24" i="6" s="1"/>
  <c r="I30" i="5"/>
  <c r="C23" i="1" s="1"/>
  <c r="L30" i="5"/>
  <c r="C26" i="1" s="1"/>
  <c r="M27" i="5"/>
  <c r="M28" i="5" s="1"/>
  <c r="M29" i="5" s="1"/>
  <c r="M30" i="5" s="1"/>
  <c r="N27" i="5"/>
  <c r="N28" i="5" s="1"/>
  <c r="N29" i="5" s="1"/>
  <c r="N30" i="5" s="1"/>
  <c r="J27" i="5"/>
  <c r="J28" i="5" s="1"/>
  <c r="J29" i="5" s="1"/>
  <c r="D26" i="1"/>
  <c r="D25" i="1"/>
  <c r="D24" i="1"/>
  <c r="D21" i="1"/>
  <c r="D20" i="1"/>
  <c r="D19" i="1"/>
  <c r="D18" i="1"/>
  <c r="E4" i="1"/>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6" i="4"/>
  <c r="K297" i="4"/>
  <c r="K298" i="4"/>
  <c r="K299" i="4"/>
  <c r="K300" i="4"/>
  <c r="K301" i="4"/>
  <c r="K302" i="4"/>
  <c r="K303" i="4"/>
  <c r="K304" i="4"/>
  <c r="K305" i="4"/>
  <c r="K306" i="4"/>
  <c r="K307" i="4"/>
  <c r="K308" i="4"/>
  <c r="K309" i="4"/>
  <c r="K310" i="4"/>
  <c r="K311" i="4"/>
  <c r="K312" i="4"/>
  <c r="E7" i="1"/>
  <c r="H25" i="1" s="1"/>
  <c r="L31" i="5" l="1"/>
  <c r="L24" i="6" s="1"/>
  <c r="L25" i="6" s="1"/>
  <c r="L26" i="6" s="1"/>
  <c r="L27" i="6" s="1"/>
  <c r="I31" i="5"/>
  <c r="I24" i="6" s="1"/>
  <c r="I25" i="6" s="1"/>
  <c r="I26" i="6" s="1"/>
  <c r="I27" i="6" s="1"/>
  <c r="C25" i="1"/>
  <c r="C22" i="1"/>
  <c r="J30" i="5"/>
  <c r="K25" i="6"/>
  <c r="K26" i="6" s="1"/>
  <c r="K27" i="6" s="1"/>
  <c r="H28" i="1"/>
  <c r="H27" i="1"/>
  <c r="H26" i="1"/>
  <c r="D19" i="5"/>
  <c r="E18" i="5"/>
  <c r="F18" i="5"/>
  <c r="G18" i="5"/>
  <c r="B2" i="5"/>
  <c r="J31" i="5" l="1"/>
  <c r="J24" i="6" s="1"/>
  <c r="J25" i="6" s="1"/>
  <c r="J26" i="6" s="1"/>
  <c r="J27" i="6" s="1"/>
  <c r="C24" i="1"/>
  <c r="H24" i="6"/>
  <c r="H25" i="6" s="1"/>
  <c r="H26" i="6" s="1"/>
  <c r="H27" i="6" s="1"/>
  <c r="K28" i="6"/>
  <c r="C25" i="7"/>
  <c r="I28" i="6"/>
  <c r="C23" i="7"/>
  <c r="L28" i="6"/>
  <c r="C26" i="7"/>
  <c r="M31" i="5"/>
  <c r="M24" i="6" s="1"/>
  <c r="C27" i="1"/>
  <c r="E27" i="1" s="1"/>
  <c r="N31" i="5"/>
  <c r="N24" i="6" s="1"/>
  <c r="C28" i="1"/>
  <c r="E28" i="1" s="1"/>
  <c r="E3" i="1"/>
  <c r="E3" i="7"/>
  <c r="E5" i="7" s="1"/>
  <c r="C19" i="5"/>
  <c r="C20" i="5" s="1"/>
  <c r="C22" i="5" s="1"/>
  <c r="D18" i="5"/>
  <c r="O18" i="5" s="1"/>
  <c r="G19" i="5"/>
  <c r="G20" i="5" s="1"/>
  <c r="F19" i="5"/>
  <c r="F20" i="5" s="1"/>
  <c r="F22" i="5" s="1"/>
  <c r="F23" i="5" s="1"/>
  <c r="E19" i="5"/>
  <c r="E20" i="5" s="1"/>
  <c r="E26" i="7" l="1"/>
  <c r="E23" i="7"/>
  <c r="J28" i="6"/>
  <c r="C24" i="7"/>
  <c r="E25" i="7"/>
  <c r="H28" i="6"/>
  <c r="C22" i="7"/>
  <c r="M25" i="6"/>
  <c r="M26" i="6" s="1"/>
  <c r="M27" i="6" s="1"/>
  <c r="N25" i="6"/>
  <c r="N26" i="6" s="1"/>
  <c r="N27" i="6" s="1"/>
  <c r="O19" i="5"/>
  <c r="D20" i="5"/>
  <c r="D22" i="5" s="1"/>
  <c r="D23" i="5" s="1"/>
  <c r="D24" i="5" s="1"/>
  <c r="E22" i="5"/>
  <c r="E23" i="5" s="1"/>
  <c r="E25" i="5" s="1"/>
  <c r="G22" i="5"/>
  <c r="G23" i="5" s="1"/>
  <c r="F24" i="5"/>
  <c r="F25" i="5"/>
  <c r="N28" i="6" l="1"/>
  <c r="C28" i="7"/>
  <c r="M28" i="6"/>
  <c r="C27" i="7"/>
  <c r="E24" i="7"/>
  <c r="E22" i="7"/>
  <c r="O20" i="5"/>
  <c r="O22" i="5"/>
  <c r="D25" i="5"/>
  <c r="D27" i="5" s="1"/>
  <c r="D28" i="5" s="1"/>
  <c r="D29" i="5" s="1"/>
  <c r="G25" i="5"/>
  <c r="G24" i="5"/>
  <c r="E24" i="5"/>
  <c r="E27" i="5" s="1"/>
  <c r="E28" i="5" s="1"/>
  <c r="E29" i="5" s="1"/>
  <c r="F27" i="5"/>
  <c r="F28" i="5" s="1"/>
  <c r="F29" i="5" s="1"/>
  <c r="F30" i="5" s="1"/>
  <c r="C20" i="1" s="1"/>
  <c r="D30" i="5" l="1"/>
  <c r="D31" i="5" s="1"/>
  <c r="D24" i="6" s="1"/>
  <c r="E30" i="5"/>
  <c r="E31" i="5" s="1"/>
  <c r="E24" i="6" s="1"/>
  <c r="E27" i="7"/>
  <c r="E28" i="7"/>
  <c r="F31" i="5"/>
  <c r="F24" i="6" s="1"/>
  <c r="C23" i="5"/>
  <c r="G27" i="5"/>
  <c r="G28" i="5" s="1"/>
  <c r="G29" i="5" s="1"/>
  <c r="G30" i="5" s="1"/>
  <c r="C21" i="1" s="1"/>
  <c r="C19" i="1" l="1"/>
  <c r="C18" i="1"/>
  <c r="C25" i="5"/>
  <c r="O23" i="5"/>
  <c r="D25" i="6"/>
  <c r="D26" i="6" s="1"/>
  <c r="D27" i="6" s="1"/>
  <c r="E25" i="6"/>
  <c r="E26" i="6" s="1"/>
  <c r="E27" i="6" s="1"/>
  <c r="F25" i="6"/>
  <c r="F26" i="6" s="1"/>
  <c r="F27" i="6" s="1"/>
  <c r="G31" i="5"/>
  <c r="G24" i="6" s="1"/>
  <c r="C24" i="5"/>
  <c r="O24" i="5" s="1"/>
  <c r="O25" i="5" l="1"/>
  <c r="C27" i="5"/>
  <c r="O27" i="5" s="1"/>
  <c r="F28" i="6"/>
  <c r="C20" i="7"/>
  <c r="E20" i="7" s="1"/>
  <c r="E28" i="6"/>
  <c r="C19" i="7"/>
  <c r="E19" i="7" s="1"/>
  <c r="D28" i="6"/>
  <c r="C18" i="7"/>
  <c r="E18" i="7" s="1"/>
  <c r="G25" i="6"/>
  <c r="G26" i="6" s="1"/>
  <c r="G27" i="6" s="1"/>
  <c r="E5" i="1"/>
  <c r="G28" i="6" l="1"/>
  <c r="C21" i="7"/>
  <c r="C36" i="5"/>
  <c r="C28" i="5"/>
  <c r="O28" i="5" l="1"/>
  <c r="C29" i="5"/>
  <c r="E21" i="7"/>
  <c r="D36" i="5"/>
  <c r="E23" i="1"/>
  <c r="E24" i="1"/>
  <c r="E26" i="1"/>
  <c r="E25" i="1"/>
  <c r="E22" i="1"/>
  <c r="E21" i="1"/>
  <c r="E20" i="1"/>
  <c r="E19" i="1"/>
  <c r="E18" i="1"/>
  <c r="C30" i="5" l="1"/>
  <c r="C17" i="1" s="1"/>
  <c r="O29" i="5"/>
  <c r="E36" i="5"/>
  <c r="O30" i="5" l="1"/>
  <c r="C31" i="5"/>
  <c r="O31" i="5" l="1"/>
  <c r="C35" i="5" s="1"/>
  <c r="C38" i="5" s="1"/>
  <c r="C24" i="6"/>
  <c r="E17" i="1"/>
  <c r="E33" i="1" s="1"/>
  <c r="E35" i="1" s="1"/>
  <c r="E36" i="1" s="1"/>
  <c r="O24" i="6" l="1"/>
  <c r="C33" i="6" s="1"/>
  <c r="D33" i="6" s="1"/>
  <c r="E33" i="6" s="1"/>
  <c r="C25" i="6"/>
  <c r="O25" i="6" s="1"/>
  <c r="O32" i="5"/>
  <c r="O33" i="5" s="1"/>
  <c r="D35" i="5"/>
  <c r="D37" i="5" s="1"/>
  <c r="C37" i="5"/>
  <c r="C26" i="6" l="1"/>
  <c r="E35" i="5"/>
  <c r="E37" i="5" s="1"/>
  <c r="O26" i="6" l="1"/>
  <c r="C27" i="6"/>
  <c r="C17" i="7" s="1"/>
  <c r="C28" i="6" l="1"/>
  <c r="O27" i="6"/>
  <c r="E17" i="7" l="1"/>
  <c r="E33" i="7" s="1"/>
  <c r="E35" i="7" s="1"/>
  <c r="E36" i="7" s="1"/>
  <c r="O28" i="6"/>
  <c r="C32" i="6" l="1"/>
  <c r="O29" i="6"/>
  <c r="O30" i="6" s="1"/>
  <c r="D32" i="6" l="1"/>
  <c r="D34" i="6" s="1"/>
  <c r="C35" i="6"/>
  <c r="C34" i="6"/>
  <c r="E32" i="6" l="1"/>
  <c r="E34" i="6" s="1"/>
</calcChain>
</file>

<file path=xl/sharedStrings.xml><?xml version="1.0" encoding="utf-8"?>
<sst xmlns="http://schemas.openxmlformats.org/spreadsheetml/2006/main" count="5441" uniqueCount="2299">
  <si>
    <t>Quotation</t>
  </si>
  <si>
    <t>To,</t>
  </si>
  <si>
    <t>Date:</t>
  </si>
  <si>
    <t>Quote #:</t>
  </si>
  <si>
    <t xml:space="preserve">Terms and Conditions </t>
  </si>
  <si>
    <t>Quote Valid Until</t>
  </si>
  <si>
    <t>•</t>
  </si>
  <si>
    <t>Offer for complete delivery: Prices valid for full order alone.</t>
  </si>
  <si>
    <t>Customer ID:</t>
  </si>
  <si>
    <t>Payment Terms</t>
  </si>
  <si>
    <t>Issued by</t>
  </si>
  <si>
    <t>Warranty</t>
  </si>
  <si>
    <t xml:space="preserve">Order Cancellation: </t>
  </si>
  <si>
    <t xml:space="preserve">Charges applicable according to OEM terms </t>
  </si>
  <si>
    <t xml:space="preserve">
</t>
  </si>
  <si>
    <t>Delivery time:</t>
  </si>
  <si>
    <t>Delivery Terms:</t>
  </si>
  <si>
    <t>Dear Sir,
We appreciate your interest in our products and thank you for your inquiry. Enclosed, you will find our quotation tailored for your specific application. Our proposal is prepared based on the details and specifications provided by you.</t>
  </si>
  <si>
    <t>Installation</t>
  </si>
  <si>
    <t>Commissioning</t>
  </si>
  <si>
    <t>Testing</t>
  </si>
  <si>
    <t>Test Certificate</t>
  </si>
  <si>
    <t>Certificate of Origin</t>
  </si>
  <si>
    <t>Sr. No.</t>
  </si>
  <si>
    <t>Item Description, Order Code*</t>
  </si>
  <si>
    <t>Unit cost</t>
  </si>
  <si>
    <t>Qty</t>
  </si>
  <si>
    <t>Amount (BHD)</t>
  </si>
  <si>
    <t>Country of origin</t>
  </si>
  <si>
    <t>Certificate of Conformity</t>
  </si>
  <si>
    <t>Please check Annexure 1 for detailed Order  Code(s)</t>
  </si>
  <si>
    <t>This proposal is subject to general terms and conditions of delivery and sales as per OEM.</t>
  </si>
  <si>
    <t>We have chosen our instruments according to the specifications given. However, we kindly ask you to thoroughly check the technical data with respect to suitability for your application.</t>
  </si>
  <si>
    <t>This quotation is confidential.</t>
  </si>
  <si>
    <t>Best Regards,</t>
  </si>
  <si>
    <t>www.platinumholdings.com.bh</t>
  </si>
  <si>
    <t>SUBTOTAL</t>
  </si>
  <si>
    <t>DISCOUNT</t>
  </si>
  <si>
    <t>VAT 10%</t>
  </si>
  <si>
    <t>TOTAL (BHD)</t>
  </si>
  <si>
    <r>
      <rPr>
        <b/>
        <sz val="15"/>
        <color rgb="FF5D7079"/>
        <rFont val="Arial"/>
        <family val="2"/>
      </rPr>
      <t>Thank you for your business!</t>
    </r>
    <r>
      <rPr>
        <sz val="10"/>
        <color rgb="FF666666"/>
        <rFont val="Arial"/>
        <family val="2"/>
      </rPr>
      <t xml:space="preserve">
</t>
    </r>
    <r>
      <rPr>
        <sz val="10"/>
        <color rgb="FF5D7079"/>
        <rFont val="Arial"/>
        <family val="2"/>
      </rPr>
      <t>Should you have any enquiries concerning this quote, Email support@platinumholdings.com.bh</t>
    </r>
  </si>
  <si>
    <t>Paste on page 1</t>
  </si>
  <si>
    <t>Paste on page 2</t>
  </si>
  <si>
    <t>Division</t>
  </si>
  <si>
    <t>PH Trading WLL</t>
  </si>
  <si>
    <t>RFQ Refference</t>
  </si>
  <si>
    <t>[Input Manually]</t>
  </si>
  <si>
    <t>COC and COO</t>
  </si>
  <si>
    <t>No</t>
  </si>
  <si>
    <t>Date</t>
  </si>
  <si>
    <t>Folder Number</t>
  </si>
  <si>
    <t>Est. Delivery</t>
  </si>
  <si>
    <t>To be Known after order is placed</t>
  </si>
  <si>
    <t>Select Certificates</t>
  </si>
  <si>
    <t>Prepared By</t>
  </si>
  <si>
    <t>Quote Prepared By</t>
  </si>
  <si>
    <t>Costing ID</t>
  </si>
  <si>
    <t>Delivery Terms</t>
  </si>
  <si>
    <t>DAP Bahrain at your store or PH Trading</t>
  </si>
  <si>
    <t>Customer</t>
  </si>
  <si>
    <t>Contact Person</t>
  </si>
  <si>
    <t>Choose Contact Person</t>
  </si>
  <si>
    <t>order Type</t>
  </si>
  <si>
    <t>Select order type</t>
  </si>
  <si>
    <t>Commisioning</t>
  </si>
  <si>
    <t>Reference</t>
  </si>
  <si>
    <t>Email</t>
  </si>
  <si>
    <t>Select payment terms</t>
  </si>
  <si>
    <t>Country of Origin</t>
  </si>
  <si>
    <t>Supplier</t>
  </si>
  <si>
    <t>EH</t>
  </si>
  <si>
    <t>Principle Name</t>
  </si>
  <si>
    <t xml:space="preserve"> Total for Order </t>
  </si>
  <si>
    <t>Equipment</t>
  </si>
  <si>
    <t xml:space="preserve"> [Product 1]     </t>
  </si>
  <si>
    <t xml:space="preserve"> [Product 2]     </t>
  </si>
  <si>
    <t xml:space="preserve"> [Product 3]     </t>
  </si>
  <si>
    <t xml:space="preserve"> [Product 4]     </t>
  </si>
  <si>
    <t xml:space="preserve"> [Product 5]     </t>
  </si>
  <si>
    <t xml:space="preserve"> [Product 6]     </t>
  </si>
  <si>
    <t xml:space="preserve"> [Product 7]     </t>
  </si>
  <si>
    <t xml:space="preserve"> [Product 8]     </t>
  </si>
  <si>
    <t xml:space="preserve"> [Product 9]     </t>
  </si>
  <si>
    <t xml:space="preserve"> [Product 10]     </t>
  </si>
  <si>
    <t xml:space="preserve"> [Product 11]     </t>
  </si>
  <si>
    <t xml:space="preserve"> [Product 12]     </t>
  </si>
  <si>
    <t>Model</t>
  </si>
  <si>
    <t xml:space="preserve"> [Model 7]     </t>
  </si>
  <si>
    <t xml:space="preserve"> [Model 8]     </t>
  </si>
  <si>
    <t xml:space="preserve"> [Model 9]     </t>
  </si>
  <si>
    <t xml:space="preserve"> [Model 10]     </t>
  </si>
  <si>
    <t xml:space="preserve"> [Model 11]     </t>
  </si>
  <si>
    <t xml:space="preserve"> [Model 12]     </t>
  </si>
  <si>
    <t>Specification / 
Order Code</t>
  </si>
  <si>
    <t xml:space="preserve"> [Specifiation 1]    </t>
  </si>
  <si>
    <t xml:space="preserve"> [Specifiation 2]    </t>
  </si>
  <si>
    <t xml:space="preserve"> [Specifiation 3]    </t>
  </si>
  <si>
    <t xml:space="preserve"> [Specifiation 4]    </t>
  </si>
  <si>
    <t xml:space="preserve"> [Specifiation 5]    </t>
  </si>
  <si>
    <t xml:space="preserve"> [Specifiation 6]    </t>
  </si>
  <si>
    <t xml:space="preserve"> [Specifiation 7]    </t>
  </si>
  <si>
    <t xml:space="preserve"> [Specifiation 8]    </t>
  </si>
  <si>
    <t xml:space="preserve"> [Specifiation 9]    </t>
  </si>
  <si>
    <t xml:space="preserve"> [Specifiation 10]    </t>
  </si>
  <si>
    <t xml:space="preserve"> [Specifiation 11]    </t>
  </si>
  <si>
    <t xml:space="preserve"> [Specifiation 12]    </t>
  </si>
  <si>
    <t>Currency</t>
  </si>
  <si>
    <t>Quantity</t>
  </si>
  <si>
    <t>EUR</t>
  </si>
  <si>
    <t>FOB</t>
  </si>
  <si>
    <t>Freight</t>
  </si>
  <si>
    <t>Supplier's total price</t>
  </si>
  <si>
    <t>Exchange Rate to BHD</t>
  </si>
  <si>
    <t xml:space="preserve">                 </t>
  </si>
  <si>
    <t>BHD</t>
  </si>
  <si>
    <t>C&amp;F</t>
  </si>
  <si>
    <t xml:space="preserve">Insurance              </t>
  </si>
  <si>
    <t xml:space="preserve">Customs @ 6%           </t>
  </si>
  <si>
    <t xml:space="preserve">Landed Cost            </t>
  </si>
  <si>
    <t>Handling @ 4%</t>
  </si>
  <si>
    <t>Finance Charges @1%</t>
  </si>
  <si>
    <t xml:space="preserve">Other Costs            </t>
  </si>
  <si>
    <t xml:space="preserve">Total Cost             </t>
  </si>
  <si>
    <t xml:space="preserve">Markup @ 20%           </t>
  </si>
  <si>
    <t>Selling Price</t>
  </si>
  <si>
    <t>Suggested Price  per unit</t>
  </si>
  <si>
    <t>Total Suggested Price</t>
  </si>
  <si>
    <t>VAT (10%)</t>
  </si>
  <si>
    <t>Grand Total</t>
  </si>
  <si>
    <t>Summary</t>
  </si>
  <si>
    <t>Total</t>
  </si>
  <si>
    <t>VAT</t>
  </si>
  <si>
    <t>Total with VAT</t>
  </si>
  <si>
    <t>Total PO value expected from Client</t>
  </si>
  <si>
    <t>PH TRADING COST</t>
  </si>
  <si>
    <t>Profit</t>
  </si>
  <si>
    <t>Profit %</t>
  </si>
  <si>
    <t>AHS Trading WLL</t>
  </si>
  <si>
    <t>COO/COC Certificates</t>
  </si>
  <si>
    <t>AHS Trading</t>
  </si>
  <si>
    <t xml:space="preserve"> [Model 1]     </t>
  </si>
  <si>
    <t xml:space="preserve"> [Model 2]     </t>
  </si>
  <si>
    <t xml:space="preserve"> [Model 3]     </t>
  </si>
  <si>
    <t xml:space="preserve"> [Model 4]     </t>
  </si>
  <si>
    <t xml:space="preserve"> [Model 5]     </t>
  </si>
  <si>
    <t xml:space="preserve"> [Model 6]     </t>
  </si>
  <si>
    <t>Designation</t>
  </si>
  <si>
    <t>Contact Number</t>
  </si>
  <si>
    <t>Customer ID Generator</t>
  </si>
  <si>
    <t>Customer Segment</t>
  </si>
  <si>
    <t>Short Code</t>
  </si>
  <si>
    <t>Stanley Vaz</t>
  </si>
  <si>
    <t>COO</t>
  </si>
  <si>
    <t>+973 3662 3662</t>
  </si>
  <si>
    <t>stanley.vaz@platinumholdings.com.bh</t>
  </si>
  <si>
    <t>Business Account Name</t>
  </si>
  <si>
    <t>Customer Type</t>
  </si>
  <si>
    <t>Serial No.</t>
  </si>
  <si>
    <t>CID</t>
  </si>
  <si>
    <t>Consultant</t>
  </si>
  <si>
    <t>CO</t>
  </si>
  <si>
    <t>Abhie Kore</t>
  </si>
  <si>
    <t>Business Head</t>
  </si>
  <si>
    <t>+973 3677 1513</t>
  </si>
  <si>
    <t>abhi.kore@platinumholdings.com.bh</t>
  </si>
  <si>
    <t>L&amp;T TECHNOLOGY SERVICES</t>
  </si>
  <si>
    <t>End Customer</t>
  </si>
  <si>
    <t>EC</t>
  </si>
  <si>
    <t>V.M. Sundar</t>
  </si>
  <si>
    <t>Manager</t>
  </si>
  <si>
    <t>+973 3826 0157</t>
  </si>
  <si>
    <t>vm.sundar@platinumholdings.com.bh</t>
  </si>
  <si>
    <t>Mott MacDonald</t>
  </si>
  <si>
    <t>Engineering Company, EPC/Licensor</t>
  </si>
  <si>
    <t>EP</t>
  </si>
  <si>
    <t>Ebin Chacko</t>
  </si>
  <si>
    <t>Technical Sales Engineer</t>
  </si>
  <si>
    <t>+973 3641 8072</t>
  </si>
  <si>
    <t>ebin.chacko@platinumholdings.com.bh</t>
  </si>
  <si>
    <t>SSH</t>
  </si>
  <si>
    <t>International Reseller</t>
  </si>
  <si>
    <t>IR</t>
  </si>
  <si>
    <t>Periyasamy N</t>
  </si>
  <si>
    <t>STANLAB BUSINESS CONSULTANCY</t>
  </si>
  <si>
    <t>Machine Builder, Skid Manufacturer</t>
  </si>
  <si>
    <t>MB</t>
  </si>
  <si>
    <t>Ramya Baskaran</t>
  </si>
  <si>
    <t>Sales Support</t>
  </si>
  <si>
    <t>+973 3889 0513</t>
  </si>
  <si>
    <t>support@platinumholdings.com.bh</t>
  </si>
  <si>
    <t>Stantec-Khonji</t>
  </si>
  <si>
    <t>National Reseller</t>
  </si>
  <si>
    <t>NR</t>
  </si>
  <si>
    <t>Tebodin Middle East Ltd.</t>
  </si>
  <si>
    <t>OEM</t>
  </si>
  <si>
    <t>OM</t>
  </si>
  <si>
    <t>AGAS International</t>
  </si>
  <si>
    <t>PH Trading</t>
  </si>
  <si>
    <t>PH</t>
  </si>
  <si>
    <t>Ahmadi industries</t>
  </si>
  <si>
    <t>Plant Builder</t>
  </si>
  <si>
    <t>PB</t>
  </si>
  <si>
    <t>Ahmedi industries</t>
  </si>
  <si>
    <t>Service Provider, Service Company</t>
  </si>
  <si>
    <t>SP</t>
  </si>
  <si>
    <t>Air Liquide Bahrain</t>
  </si>
  <si>
    <t>System Integrator</t>
  </si>
  <si>
    <t>SI</t>
  </si>
  <si>
    <t>Al Alawi</t>
  </si>
  <si>
    <t>Select Delivery terms</t>
  </si>
  <si>
    <t>Select Est Delivery</t>
  </si>
  <si>
    <t>Select Warranty</t>
  </si>
  <si>
    <t>al eradah chemical bahrain</t>
  </si>
  <si>
    <t>100% Advance Payment with PO</t>
  </si>
  <si>
    <t>3-5 weeks</t>
  </si>
  <si>
    <t>Against Manufacturing Defects (12 months from the date of delivery )</t>
  </si>
  <si>
    <t>Al Ezzel Engie O&amp;M Co. W.L.L</t>
  </si>
  <si>
    <t>100% Payment Against Delivery</t>
  </si>
  <si>
    <t>Ex-Works (EXW)</t>
  </si>
  <si>
    <t>4-6 weeks</t>
  </si>
  <si>
    <t>No warranty for spare parts</t>
  </si>
  <si>
    <t>Al Ezzel O&amp;M Co. W.L.L</t>
  </si>
  <si>
    <t>30 days from Date of Delivery</t>
  </si>
  <si>
    <t>Free Carrier (FCA)</t>
  </si>
  <si>
    <t>5-7 weeks</t>
  </si>
  <si>
    <t>Al Madar General trading</t>
  </si>
  <si>
    <t>60 days from Date of Delivery</t>
  </si>
  <si>
    <t>Delivered Duty Paid (DDP)</t>
  </si>
  <si>
    <t>7-9 weeks</t>
  </si>
  <si>
    <t>Al Manhal Water Factory</t>
  </si>
  <si>
    <t>Letter of Credit (LC)</t>
  </si>
  <si>
    <t>9-11 weeks</t>
  </si>
  <si>
    <t>Al Sane &amp; Partners Soft drinks</t>
  </si>
  <si>
    <t>Project Stage Payments</t>
  </si>
  <si>
    <t>12-14 weeks</t>
  </si>
  <si>
    <t>Al-Awadi Factory</t>
  </si>
  <si>
    <t>50% Advance + 50% Against Delivery</t>
  </si>
  <si>
    <t>16-18 weeks</t>
  </si>
  <si>
    <t>ALEASTUR MIDDLE EAST W.L.L</t>
  </si>
  <si>
    <t>ALUMINIUM BAHRAIN B.S.C.(C)</t>
  </si>
  <si>
    <t>Select Country</t>
  </si>
  <si>
    <t>AluServ Middle East W.L.L</t>
  </si>
  <si>
    <t>DE</t>
  </si>
  <si>
    <t>Germany</t>
  </si>
  <si>
    <t>Aman Water</t>
  </si>
  <si>
    <t>OEM, Machine and Skid Builder</t>
  </si>
  <si>
    <t>General</t>
  </si>
  <si>
    <t>CH</t>
  </si>
  <si>
    <t>Switzerland</t>
  </si>
  <si>
    <t>Aqua Seef</t>
  </si>
  <si>
    <t>Spareparts</t>
  </si>
  <si>
    <t>FR</t>
  </si>
  <si>
    <t>France</t>
  </si>
  <si>
    <t>Aqua TT</t>
  </si>
  <si>
    <t>Items + Spareparts</t>
  </si>
  <si>
    <t>UK</t>
  </si>
  <si>
    <t>United Kingdom (GB)</t>
  </si>
  <si>
    <t>Arab. Gulf Cement Co..</t>
  </si>
  <si>
    <t>US</t>
  </si>
  <si>
    <t>United States of America</t>
  </si>
  <si>
    <t>Arab. Sugar Co. B.S.C</t>
  </si>
  <si>
    <t>SL</t>
  </si>
  <si>
    <t>Slovenia</t>
  </si>
  <si>
    <t>Arabian Gulf Cement Co. Wll</t>
  </si>
  <si>
    <t>Statement</t>
  </si>
  <si>
    <t>GR</t>
  </si>
  <si>
    <t>Greece</t>
  </si>
  <si>
    <t>Arla Foods Bahrain S.P.C</t>
  </si>
  <si>
    <t>(Authorized Endress Hauser Agency in Bahrain)</t>
  </si>
  <si>
    <t>IT</t>
  </si>
  <si>
    <t>Italy</t>
  </si>
  <si>
    <t>Awal Dairy - Tetrapack</t>
  </si>
  <si>
    <t>GI</t>
  </si>
  <si>
    <t>(Authorized GIC &amp; Guages Bourdon Agency in Bahrain)</t>
  </si>
  <si>
    <t>Awal Dairy Co. WLL</t>
  </si>
  <si>
    <t>SM</t>
  </si>
  <si>
    <t>(Authorized Servomex Agency in Bahrain)</t>
  </si>
  <si>
    <t>Bahrain LNG W.L.L</t>
  </si>
  <si>
    <t>LG</t>
  </si>
  <si>
    <t>(Authorized landys+Gyr Agency in Bahrain)</t>
  </si>
  <si>
    <t>Bahrain LNG/ Seapeak</t>
  </si>
  <si>
    <t>IS</t>
  </si>
  <si>
    <t>(Authorized Iskraemeco Agency in Bahrain)</t>
  </si>
  <si>
    <t>Bahrain Medical</t>
  </si>
  <si>
    <t>Bahrain National Gas Company</t>
  </si>
  <si>
    <t>Bahrain Pharma</t>
  </si>
  <si>
    <t>Bahrain Steel BSCC (E.C.) - Sulb</t>
  </si>
  <si>
    <t>Bahrain Sugar Refinery</t>
  </si>
  <si>
    <t>BALEXCO</t>
  </si>
  <si>
    <t>Yes</t>
  </si>
  <si>
    <t>Included</t>
  </si>
  <si>
    <t>BANAGAS</t>
  </si>
  <si>
    <t xml:space="preserve">Additional charges applicable as per OEM terms </t>
  </si>
  <si>
    <t>Bapco refining</t>
  </si>
  <si>
    <t>BAPCO UPSTREAM W.L.L</t>
  </si>
  <si>
    <t>BASF - The chemical Company</t>
  </si>
  <si>
    <t>Batelco</t>
  </si>
  <si>
    <t>BJFCO</t>
  </si>
  <si>
    <t>Contax Partners</t>
  </si>
  <si>
    <t>CPIC Abahsain Fiberglass WLL</t>
  </si>
  <si>
    <t>CPIC fiber glass</t>
  </si>
  <si>
    <t>CROWN PLAZA</t>
  </si>
  <si>
    <t>Dalkia Utilities Co. W.L.L</t>
  </si>
  <si>
    <t>Diyar - Eagle Hills</t>
  </si>
  <si>
    <t>Eltekon Oil &amp; Gas</t>
  </si>
  <si>
    <t>Energy Central</t>
  </si>
  <si>
    <t>ENERGY CENTRAL UTILITIES</t>
  </si>
  <si>
    <t>EWA</t>
  </si>
  <si>
    <t>Falcon Cement Company</t>
  </si>
  <si>
    <t>Fine Foods</t>
  </si>
  <si>
    <t>GARMCO</t>
  </si>
  <si>
    <t>GPIC</t>
  </si>
  <si>
    <t>Great Lakes Dredge &amp; Dock company</t>
  </si>
  <si>
    <t>GULF ALUMINIUM ROLLING MILL</t>
  </si>
  <si>
    <t>Gulf Biotech</t>
  </si>
  <si>
    <t>Gulf Market International</t>
  </si>
  <si>
    <t>Gulf Petrochemical Industries Co.</t>
  </si>
  <si>
    <t>Harris Pye Gulf LLC</t>
  </si>
  <si>
    <t>Hempel Paints Bahrain</t>
  </si>
  <si>
    <t>Hidd Power Co. BSC</t>
  </si>
  <si>
    <t>Imerys Al Zayani Fused Minerals WLL</t>
  </si>
  <si>
    <t>Imerys Fused Minerals</t>
  </si>
  <si>
    <t>JACOBS</t>
  </si>
  <si>
    <t>Jalal Ionics W.L.L. - Aqua Cool</t>
  </si>
  <si>
    <t>JBF Bahrain S.P.C</t>
  </si>
  <si>
    <t>Lauscha Fiber International</t>
  </si>
  <si>
    <t>Manama packing Inds</t>
  </si>
  <si>
    <t>Metito Bahrain</t>
  </si>
  <si>
    <t>Midal Cables Ltd</t>
  </si>
  <si>
    <t>Middle East Carbon Dioxide</t>
  </si>
  <si>
    <t>Ministry of works</t>
  </si>
  <si>
    <t>Mondelez</t>
  </si>
  <si>
    <t>Mondelez Bahrain Biscuits WLL</t>
  </si>
  <si>
    <t>mondelez International</t>
  </si>
  <si>
    <t>Mueller Middle East BSC</t>
  </si>
  <si>
    <t>Muharraq Wastewater Services Co</t>
  </si>
  <si>
    <t>Mwh khonji</t>
  </si>
  <si>
    <t>National Concrete Complay WLL</t>
  </si>
  <si>
    <t>NOGA</t>
  </si>
  <si>
    <t>NOMAC</t>
  </si>
  <si>
    <t>p2m Beriln</t>
  </si>
  <si>
    <t>Plafixx Dry mix company WLL</t>
  </si>
  <si>
    <t>Praxair Bahrain B.S.C</t>
  </si>
  <si>
    <t>Reckitt Benckiser Bahrain WLL</t>
  </si>
  <si>
    <t>Riffa Power Station</t>
  </si>
  <si>
    <r>
      <rPr>
        <sz val="11"/>
        <rFont val="Calibri"/>
        <family val="2"/>
        <scheme val="major"/>
      </rPr>
      <t>Saudi Electricity Company</t>
    </r>
  </si>
  <si>
    <t>SEAPEAK</t>
  </si>
  <si>
    <t>SeapeakBahrainOperationsBahrainLNG</t>
  </si>
  <si>
    <t>Seawater Reverse Osmosis Plant</t>
  </si>
  <si>
    <t xml:space="preserve">Sepcon </t>
  </si>
  <si>
    <t>Sulb Company  B.S.C</t>
  </si>
  <si>
    <t>tabreed</t>
  </si>
  <si>
    <t>Tabreed Bahrain</t>
  </si>
  <si>
    <t>Textile Bahrain Company W.L.L.</t>
  </si>
  <si>
    <t>The Bahrain Petroleum Co. (Bapco)</t>
  </si>
  <si>
    <t>The CocaCola Bottling Company</t>
  </si>
  <si>
    <t>UltraTech Cement Bahrain Company</t>
  </si>
  <si>
    <t>United Cement Company</t>
  </si>
  <si>
    <t>United Stainless Steel Co.</t>
  </si>
  <si>
    <t>Universal Laboratories (Bahrain)</t>
  </si>
  <si>
    <t>US NAVAL BASE</t>
  </si>
  <si>
    <t>Veolia Energy Gulf W.L.L</t>
  </si>
  <si>
    <t>Veolia Energy Gulf W.L.L.</t>
  </si>
  <si>
    <t>VEOLIA Water Tech &amp; Solutions</t>
  </si>
  <si>
    <t>Wabag Belhasa JV WLL</t>
  </si>
  <si>
    <t>WTE Wassertechnik GmbH</t>
  </si>
  <si>
    <t>Yateem Oxygen</t>
  </si>
  <si>
    <t>YOKOGAWA</t>
  </si>
  <si>
    <t>Yokogawa Middle East &amp; Africa</t>
  </si>
  <si>
    <t>Airmech W.L.L</t>
  </si>
  <si>
    <t>ALKOMED</t>
  </si>
  <si>
    <t>Almoayyed Electrical &amp; Inst</t>
  </si>
  <si>
    <t>Arab International</t>
  </si>
  <si>
    <t>Arabtech -TAV</t>
  </si>
  <si>
    <t>Banz Trading &amp; Contracting W.L.L</t>
  </si>
  <si>
    <t>DEGREMONT Bahrain</t>
  </si>
  <si>
    <t>Delta Bahrain</t>
  </si>
  <si>
    <t>Fives Services Gulf Co.</t>
  </si>
  <si>
    <t>HYUNDAI Heavy Industries Co. Ltd.</t>
  </si>
  <si>
    <t>Jalal Al A'Ali &amp; Son's Co.Bsc ©</t>
  </si>
  <si>
    <t>Kartech Services spc</t>
  </si>
  <si>
    <t xml:space="preserve">Kraum &amp; Spruk Technologies </t>
  </si>
  <si>
    <t>LBH Middle East WLL</t>
  </si>
  <si>
    <t>LEOCOM Technical Solutions</t>
  </si>
  <si>
    <t>Mannai Technical Services/CPIC</t>
  </si>
  <si>
    <t>MCSC</t>
  </si>
  <si>
    <t>MCSIX</t>
  </si>
  <si>
    <t>METITO OWT W.L.L</t>
  </si>
  <si>
    <t>Mohammed Abdulmohsin</t>
  </si>
  <si>
    <t>Nass Corporation</t>
  </si>
  <si>
    <t>Nass Landscape</t>
  </si>
  <si>
    <t>Nass Mechnical Contr. Co.</t>
  </si>
  <si>
    <t>p2m berlin middle east</t>
  </si>
  <si>
    <t>Panorama</t>
  </si>
  <si>
    <t>Panorama Contrg &amp; Eng. Services</t>
  </si>
  <si>
    <t>Ramsis Engineering</t>
  </si>
  <si>
    <t>SEPCO3 Bahrain construction Co.SPC</t>
  </si>
  <si>
    <t>Shapoorji Pallonji Mideast LLC</t>
  </si>
  <si>
    <t>TECTON</t>
  </si>
  <si>
    <t>Tecton Engineering &amp; construction</t>
  </si>
  <si>
    <t>transglobal contracting</t>
  </si>
  <si>
    <t>West point</t>
  </si>
  <si>
    <t>Worley Parsons</t>
  </si>
  <si>
    <t>Yusuf Bin Ahmed Kanoo WLL</t>
  </si>
  <si>
    <t>Zohal Construction Company W.L.L.</t>
  </si>
  <si>
    <t>AEMCO</t>
  </si>
  <si>
    <t>EP38</t>
  </si>
  <si>
    <t>Howdaj</t>
  </si>
  <si>
    <t>PETRO TECHNOLOGY SUPPLIES CO WLL</t>
  </si>
  <si>
    <t>Theia New Consultancy W.L.L.</t>
  </si>
  <si>
    <t>Flowlead</t>
  </si>
  <si>
    <t>Abraqyah Trading Company</t>
  </si>
  <si>
    <t>Al Bakali</t>
  </si>
  <si>
    <t>Al Bakali Geneal Trading B.S.C.</t>
  </si>
  <si>
    <t>Al Hilal Group</t>
  </si>
  <si>
    <t>AL HILLO trading CO W.L.L,</t>
  </si>
  <si>
    <t>AL HILLO Trdg CO W.L.L,</t>
  </si>
  <si>
    <t>AL HOSN TRADING</t>
  </si>
  <si>
    <t>Al Rawaby trading CO</t>
  </si>
  <si>
    <t>Al Zamih trading &amp; Industrial Supplies</t>
  </si>
  <si>
    <t>ALAMAN trading CO. W.L.L.</t>
  </si>
  <si>
    <t>Alashiqa General trading</t>
  </si>
  <si>
    <t>AL-FARIS Industrial Supplies W.L.L</t>
  </si>
  <si>
    <t>ALL VOLT TRADING</t>
  </si>
  <si>
    <t>AlThawadi Elec. and Mechanical Est</t>
  </si>
  <si>
    <t>AMAD BAEED ELECTRICAL WLL</t>
  </si>
  <si>
    <t>AQUACHEM</t>
  </si>
  <si>
    <t>ARC Energy</t>
  </si>
  <si>
    <t>Areej Trading Est</t>
  </si>
  <si>
    <t>ARYANI TRADING</t>
  </si>
  <si>
    <t>BASF PLASTIC ADDITIVES MIDDLE EAST</t>
  </si>
  <si>
    <t>BMMI - Global Sourcing and Supply</t>
  </si>
  <si>
    <t>Bright Line</t>
  </si>
  <si>
    <t>Brooklyn Contracting</t>
  </si>
  <si>
    <t>Central Power + Process Systems</t>
  </si>
  <si>
    <t>Concorde International Services</t>
  </si>
  <si>
    <t>CPIC/Mannai Technical Services</t>
  </si>
  <si>
    <t>CPPS</t>
  </si>
  <si>
    <t>Crown Elctro-Mechanical Services</t>
  </si>
  <si>
    <t>Delta electrical items</t>
  </si>
  <si>
    <t>EAUTECH</t>
  </si>
  <si>
    <t>Elec mechanical equipments sys co.</t>
  </si>
  <si>
    <t>EMCOR Facilities Services</t>
  </si>
  <si>
    <t>European Const. &amp; Maint.</t>
  </si>
  <si>
    <t>Everon</t>
  </si>
  <si>
    <t>Global Diameter</t>
  </si>
  <si>
    <t>Global Industrial Resources W.L.L.</t>
  </si>
  <si>
    <t>Green Arrow trading &amp; Contrg Co.</t>
  </si>
  <si>
    <t>Green star AC contracting</t>
  </si>
  <si>
    <t>GTC Aqua Treat</t>
  </si>
  <si>
    <t>GULF MARKET</t>
  </si>
  <si>
    <t>Gulf Snipe Services W.L.L</t>
  </si>
  <si>
    <t>Gulf Temperature Sensors WLL</t>
  </si>
  <si>
    <t>Henson Elec. W.L.L.</t>
  </si>
  <si>
    <t>INSEAL ENGINEERING</t>
  </si>
  <si>
    <t>InterStar Elec. Eqp.W.L.L</t>
  </si>
  <si>
    <t>Int'l Technical Sply. &amp; Service</t>
  </si>
  <si>
    <t>Int'l trading House (S.P.C.)</t>
  </si>
  <si>
    <t>ISEA Middle East W.L.L.</t>
  </si>
  <si>
    <t>ITSS</t>
  </si>
  <si>
    <t>IV SPARE PARTS COMPANY</t>
  </si>
  <si>
    <t>Jadawel Trading and Contracting Est</t>
  </si>
  <si>
    <t>Jethro Trading</t>
  </si>
  <si>
    <t>JGB INTERNATIONAL GROUP</t>
  </si>
  <si>
    <t>KA Electrical and Mechanical</t>
  </si>
  <si>
    <t>Korea Global Trading</t>
  </si>
  <si>
    <t>MAXWELL GLOBAL PIPING &amp; TESTING</t>
  </si>
  <si>
    <t>MECH-TECH INTERNATIONAL EST</t>
  </si>
  <si>
    <t>Mercury Middle East WLL</t>
  </si>
  <si>
    <t>Mesas Automation &amp; Energy solutions</t>
  </si>
  <si>
    <t>MetCo. Modern</t>
  </si>
  <si>
    <t>MOHAMMED JALAL &amp; SONS W.L.L.</t>
  </si>
  <si>
    <t>Morrells int. Gen. Trading</t>
  </si>
  <si>
    <t>Nan Technical trading (NANTECH)</t>
  </si>
  <si>
    <t>New way General Trading EST</t>
  </si>
  <si>
    <t>New Way trading Est.</t>
  </si>
  <si>
    <t>NEWTECH INTERNATIONAL WLL</t>
  </si>
  <si>
    <t>OMNI</t>
  </si>
  <si>
    <t>OXI MOX TRADING</t>
  </si>
  <si>
    <t>PANARAB Marketing &amp; Agent</t>
  </si>
  <si>
    <t>PEARL INDIA TRADING CO WLL</t>
  </si>
  <si>
    <t>Phoenix Temperature &amp; ElectroMech</t>
  </si>
  <si>
    <t>PROFETECH Machinery and Equipment</t>
  </si>
  <si>
    <t>RAAS OILFIELD SERVICES</t>
  </si>
  <si>
    <t>Ridings Consulting Services Co WLL</t>
  </si>
  <si>
    <t>Saraya trading</t>
  </si>
  <si>
    <t>Saudik trading Co. W.L.L</t>
  </si>
  <si>
    <t>SERVIQ INTERNATIONAL TRADING</t>
  </si>
  <si>
    <t>SIFC</t>
  </si>
  <si>
    <t>Sigma Power Zone</t>
  </si>
  <si>
    <t>Silla INT Trading CO W.L.L.</t>
  </si>
  <si>
    <t>SMART WATER PROJECTS WLL</t>
  </si>
  <si>
    <t>SMS Technical Services Gulf S.P.C.</t>
  </si>
  <si>
    <t>SSE Flow controls Mktg. co wll</t>
  </si>
  <si>
    <t>Sun Techs general Trading</t>
  </si>
  <si>
    <t>Syscon Trading Mechanical Services</t>
  </si>
  <si>
    <t>Tangia City Electrical</t>
  </si>
  <si>
    <t>Techno Checm Trading</t>
  </si>
  <si>
    <t>TECHNOCHEM TRADING</t>
  </si>
  <si>
    <t>Techno-Line Trading &amp; Services</t>
  </si>
  <si>
    <t>Texas Technical Services</t>
  </si>
  <si>
    <t>The Future Shop WLL</t>
  </si>
  <si>
    <t>Top Serve International Co. W.L.L</t>
  </si>
  <si>
    <t>Transglobal Contracting Co. WLL</t>
  </si>
  <si>
    <t>TURKS TRADING</t>
  </si>
  <si>
    <t>United World Technologies</t>
  </si>
  <si>
    <t>WestPoint Home (Bahrain) W.L.L</t>
  </si>
  <si>
    <t>NR97</t>
  </si>
  <si>
    <t>Arabian International Contracting</t>
  </si>
  <si>
    <t>Flora Contracting and Maintenance</t>
  </si>
  <si>
    <t>Silver Fils International Co WLL</t>
  </si>
  <si>
    <t>SOCIETE INTERNATIONALE DE</t>
  </si>
  <si>
    <t>P H Trading W.L.L</t>
  </si>
  <si>
    <t>Acadia Solutions WLL</t>
  </si>
  <si>
    <t>Al Moayyed air conditioning</t>
  </si>
  <si>
    <t>Almoayyed</t>
  </si>
  <si>
    <t>Anasia Trading Co. Ltd.</t>
  </si>
  <si>
    <t>AQUA TECHNOLOGY TRANSFER W.L.L.</t>
  </si>
  <si>
    <t>Arrowfinch</t>
  </si>
  <si>
    <t>ARROWFINCH TECHNOLOGIES WLL</t>
  </si>
  <si>
    <t>ASIABAH Accelerated Services</t>
  </si>
  <si>
    <t>BSLI</t>
  </si>
  <si>
    <t>Cegelec Co.</t>
  </si>
  <si>
    <t>CELL MEC</t>
  </si>
  <si>
    <t>Comsip Al'Ali W.L.L - Actemium</t>
  </si>
  <si>
    <t>Greengroves Bahrain WLL</t>
  </si>
  <si>
    <t>GREENTECH</t>
  </si>
  <si>
    <t>Hydrotechnics Solutions</t>
  </si>
  <si>
    <t>Insta Industrial</t>
  </si>
  <si>
    <t>INTERCOL</t>
  </si>
  <si>
    <t>Kraum &amp; Spruk</t>
  </si>
  <si>
    <t>LEOCOM</t>
  </si>
  <si>
    <t>MMETC WLL</t>
  </si>
  <si>
    <t>Orbitus/Sedres</t>
  </si>
  <si>
    <t>PALACE ELECTRONICS</t>
  </si>
  <si>
    <t>profetech machinery</t>
  </si>
  <si>
    <t>Prudent Solutions</t>
  </si>
  <si>
    <t>Prudent Solutions W.L.L</t>
  </si>
  <si>
    <t>Three Lions Trading Company w. L. L</t>
  </si>
  <si>
    <t>TTSJV</t>
  </si>
  <si>
    <t>Uneeco Group</t>
  </si>
  <si>
    <t>Wa-Tech Water Technology WLL</t>
  </si>
  <si>
    <t>Zayika Technical Services</t>
  </si>
  <si>
    <t>Syscon Trading &amp; Mechanical Services Co. WLL</t>
  </si>
  <si>
    <t>Volt Cube Technical Services</t>
  </si>
  <si>
    <t>AMPS W.L.L</t>
  </si>
  <si>
    <t>Agalpro Solutions</t>
  </si>
  <si>
    <t>Al Hoty Analytical Services</t>
  </si>
  <si>
    <t>Al Kooheji Technical Services</t>
  </si>
  <si>
    <t>AL THAWADI</t>
  </si>
  <si>
    <t>Aztec Services S.P.C</t>
  </si>
  <si>
    <t>Bahrain workshop company wll</t>
  </si>
  <si>
    <t>EMCE Maintenance &amp; Const</t>
  </si>
  <si>
    <t>EnerServ WLL</t>
  </si>
  <si>
    <t>Garinger Middle East for trading</t>
  </si>
  <si>
    <t>Greentech middle east group</t>
  </si>
  <si>
    <t>JOHNSON CONTROLS</t>
  </si>
  <si>
    <t>Kooheji Technical Services</t>
  </si>
  <si>
    <t>MC6 Construction W.L.L</t>
  </si>
  <si>
    <t>Mehar International WLL</t>
  </si>
  <si>
    <t>SMART OF WATER TREATMENT</t>
  </si>
  <si>
    <t>The Gulf Projects and Tenders</t>
  </si>
  <si>
    <t>Worley Solutions Bahrain S.P.C</t>
  </si>
  <si>
    <t>Nass Electrical Contracting</t>
  </si>
  <si>
    <t>EP37</t>
  </si>
  <si>
    <t>Al Faris Industrial supplies</t>
  </si>
  <si>
    <t>SP18</t>
  </si>
  <si>
    <t>Al Mufeed Electrical Services W.L.L</t>
  </si>
  <si>
    <t>Engineering Company</t>
  </si>
  <si>
    <t>Abu Obaid Cont &amp; Trading Group W.L.L</t>
  </si>
  <si>
    <t>SP19</t>
  </si>
  <si>
    <t>JAHECON W.L.L</t>
  </si>
  <si>
    <t>SI34</t>
  </si>
  <si>
    <t>Salutation</t>
  </si>
  <si>
    <t>Phone</t>
  </si>
  <si>
    <t>Address</t>
  </si>
  <si>
    <t>Mohammed Ali</t>
  </si>
  <si>
    <t>Mr.</t>
  </si>
  <si>
    <t>66720555</t>
  </si>
  <si>
    <t>m.ali@abraqyah.com</t>
  </si>
  <si>
    <t>Office No. 105, Building No. 106, Road No. 20, Block No. 331, Bu Ghazal, Kingdom of Bahrain.</t>
  </si>
  <si>
    <t>Vignesh Ganesan</t>
  </si>
  <si>
    <t>39623555</t>
  </si>
  <si>
    <t>vignesh@abraqyah.com</t>
  </si>
  <si>
    <t>Saifudheen Ahmmed</t>
  </si>
  <si>
    <t>36596976</t>
  </si>
  <si>
    <t>sales@acadiamea.com</t>
  </si>
  <si>
    <t>1336 Block 713 Street 1326 Tubli, Al Asimah, Bahrain.</t>
  </si>
  <si>
    <t>Dennis Hmelev</t>
  </si>
  <si>
    <t>+97333549523</t>
  </si>
  <si>
    <t>info@agalpro.com</t>
  </si>
  <si>
    <t>Hidd, Kingdom of Bahrain</t>
  </si>
  <si>
    <t>Jagadessan bat</t>
  </si>
  <si>
    <t>39133429</t>
  </si>
  <si>
    <t>jagadeesan@agasintl.com</t>
  </si>
  <si>
    <t>P.O. Box 15360, Kingdom of Bahrain. Phone: +973 17822240.</t>
  </si>
  <si>
    <t>Nadarajan Padmanabhan</t>
  </si>
  <si>
    <t>1783 0495</t>
  </si>
  <si>
    <t>info@agasintl.com</t>
  </si>
  <si>
    <t>Devidas Daundkar</t>
  </si>
  <si>
    <t>34660736</t>
  </si>
  <si>
    <t>devidas.d@ahmadi.com</t>
  </si>
  <si>
    <t>Post Box 34, Road 2913, Building 665, Block 329, Manama, Bahrain</t>
  </si>
  <si>
    <t>SASIKUMAR</t>
  </si>
  <si>
    <t>1726 5444</t>
  </si>
  <si>
    <t>admin@ahmadipepsi.com</t>
  </si>
  <si>
    <t>P Saravanan</t>
  </si>
  <si>
    <t>17708200</t>
  </si>
  <si>
    <t>saravanan@airliquide.com</t>
  </si>
  <si>
    <t>Building 1398, 4626 R 1702, Manama, Manama</t>
  </si>
  <si>
    <t>Basil N. Maduakor</t>
  </si>
  <si>
    <t>(0)66398838</t>
  </si>
  <si>
    <t>parker@al-alawi.com</t>
  </si>
  <si>
    <t>307 Block 363 Street 328 Shaikh Salman Highway, Bilad Al Qadeem, Al Asimah</t>
  </si>
  <si>
    <t>Hussain Al Bakali</t>
  </si>
  <si>
    <t>17551189</t>
  </si>
  <si>
    <t>albakali@albakali.net</t>
  </si>
  <si>
    <t>Ajeyaad Tower, Building No 2304 2830 Road 2831, MANAMA</t>
  </si>
  <si>
    <t>jithin V tom</t>
  </si>
  <si>
    <t>32010832</t>
  </si>
  <si>
    <t>info@aleradahchemicals.com</t>
  </si>
  <si>
    <t>Rd No 310, Madinat Hamad, Bahrain</t>
  </si>
  <si>
    <t>Adi kesavan</t>
  </si>
  <si>
    <t>33234396</t>
  </si>
  <si>
    <t>adi.kesavan@alezzelom.com</t>
  </si>
  <si>
    <t>Flat 3, Building 285, Block 115, Al Hidd, Bahrain</t>
  </si>
  <si>
    <t>30 days</t>
  </si>
  <si>
    <t>Ali Moosa Jaffar</t>
  </si>
  <si>
    <t/>
  </si>
  <si>
    <t>ali.moosa@alezzelom.com</t>
  </si>
  <si>
    <t>Balachandra poojari</t>
  </si>
  <si>
    <t>33444105</t>
  </si>
  <si>
    <t>balachandar.poojari@alezzelom.com</t>
  </si>
  <si>
    <t>Jayaprakash Poojary</t>
  </si>
  <si>
    <t>+973 35105035</t>
  </si>
  <si>
    <t>jayaprakash.poojary@engie.com</t>
  </si>
  <si>
    <t>Koteswara rao</t>
  </si>
  <si>
    <t>33017070</t>
  </si>
  <si>
    <t>vithanala.rao@alezzelom.com</t>
  </si>
  <si>
    <t>Nazeer Khan</t>
  </si>
  <si>
    <t>+973 37766854</t>
  </si>
  <si>
    <t>nazeer.khan@engie.com</t>
  </si>
  <si>
    <t>Nazeer mohammed Khan</t>
  </si>
  <si>
    <t>37766854</t>
  </si>
  <si>
    <t>nazeer.khan@alezzelom.com</t>
  </si>
  <si>
    <t>Qasim Maqbool</t>
  </si>
  <si>
    <t>qasim.maqbool@alezzelom.com</t>
  </si>
  <si>
    <t>Venkat rajian.s</t>
  </si>
  <si>
    <t>39759406</t>
  </si>
  <si>
    <t>venkat.rajan@alezzelom.com</t>
  </si>
  <si>
    <t>Zahra Alhaddad</t>
  </si>
  <si>
    <t>Ms.</t>
  </si>
  <si>
    <t>+973 17844344</t>
  </si>
  <si>
    <t>zahra.alhaddad@engie.com</t>
  </si>
  <si>
    <t>Jaffar Shoala</t>
  </si>
  <si>
    <t>jaffar.shoala@tradearabia.net</t>
  </si>
  <si>
    <t>Office 31, Building Road 18, Block 320, Al Hoora, Manama, Bahrain</t>
  </si>
  <si>
    <t>A.K BABU</t>
  </si>
  <si>
    <t>39941495</t>
  </si>
  <si>
    <t>alhillo@batelco.com.bh</t>
  </si>
  <si>
    <t>Building B 1030, Flat 12, Block 939, Road 3923, East Riffa, Bahrain</t>
  </si>
  <si>
    <t>mohammed Jaffer</t>
  </si>
  <si>
    <t>mohd.jaffer@alhosntrading.com</t>
  </si>
  <si>
    <t>2126 Block 115, Street 1529, Al Hadd, Muharraq, Bahrain</t>
  </si>
  <si>
    <t>Sridhar Shankar</t>
  </si>
  <si>
    <t>38700406</t>
  </si>
  <si>
    <t>sridhar@alhotybahrain.com</t>
  </si>
  <si>
    <t>Mina Salman, Kingdom of Bahrain</t>
  </si>
  <si>
    <t>Mugesh Dhason</t>
  </si>
  <si>
    <t>+97335189685</t>
  </si>
  <si>
    <t>dmugesh2000@gmail.com</t>
  </si>
  <si>
    <t>Askar, Kingdom of Bahrain</t>
  </si>
  <si>
    <t>Joji P. John</t>
  </si>
  <si>
    <t>39 905548</t>
  </si>
  <si>
    <t>almadar2@batelco.com.bh</t>
  </si>
  <si>
    <t>Near Bahrain Finance, Building 7, Office 1, 8 Road 2831, Salmabad</t>
  </si>
  <si>
    <t>Khaled Al-Bitar</t>
  </si>
  <si>
    <t>17404435</t>
  </si>
  <si>
    <t>info@bh.nestle-waters.com</t>
  </si>
  <si>
    <t>Road 1161, Building 1493, AL MUSALLA</t>
  </si>
  <si>
    <t>Nahas P Salim</t>
  </si>
  <si>
    <t>+973 33040598</t>
  </si>
  <si>
    <t>nahas.s@almoayyedcg.com</t>
  </si>
  <si>
    <t>Tashan, Manama, Manama, 32232</t>
  </si>
  <si>
    <t>+973 - 17830433</t>
  </si>
  <si>
    <t>alrawaby@batelco.com.bh</t>
  </si>
  <si>
    <t>Building 1311, Road 5136, Askar 951, MANAMA</t>
  </si>
  <si>
    <t>Fahim Abdulla</t>
  </si>
  <si>
    <t>17728133</t>
  </si>
  <si>
    <t>alsane@batelco.com.bh</t>
  </si>
  <si>
    <t>Building 529, Road 4311, MANAMA, Al-Janubiyah</t>
  </si>
  <si>
    <t>Manu Manu K Jose</t>
  </si>
  <si>
    <t>33-647-653</t>
  </si>
  <si>
    <t>projects@althawadigroup.com</t>
  </si>
  <si>
    <t>East Riffa, Kingdom of Bahrain</t>
  </si>
  <si>
    <t>Biju YOHANNAN</t>
  </si>
  <si>
    <t>+973-17-291636</t>
  </si>
  <si>
    <t>biju.yohannan@alzamih.com</t>
  </si>
  <si>
    <t>Nishaf Nishaf</t>
  </si>
  <si>
    <t>38073505</t>
  </si>
  <si>
    <t>nishaf@alzamih.com</t>
  </si>
  <si>
    <t>Saju Abraham</t>
  </si>
  <si>
    <t>enquiry-bh@alzamih.com</t>
  </si>
  <si>
    <t>Victor Victor</t>
  </si>
  <si>
    <t>(0)17230939</t>
  </si>
  <si>
    <t>infoalamantc@gmail.com</t>
  </si>
  <si>
    <t>Building No. 1564, Hamad Town, Northern Governorate, Bahrain.</t>
  </si>
  <si>
    <t>Relton Rodrigues</t>
  </si>
  <si>
    <t>33626462</t>
  </si>
  <si>
    <t>relton@alashiqa.com</t>
  </si>
  <si>
    <t>Flat 12, Building 2300, Road 439, Block 704, Salmabad, Isa Town, Kingdom of Bahrain.</t>
  </si>
  <si>
    <t>Sayed Kadam</t>
  </si>
  <si>
    <t>sayeed@alashiqa.com</t>
  </si>
  <si>
    <t>Faisal Alawadi</t>
  </si>
  <si>
    <t>33624450 / 966543996972</t>
  </si>
  <si>
    <t>faisal@alawadyfactories.com</t>
  </si>
  <si>
    <t>Enrique Sela</t>
  </si>
  <si>
    <t>+973 3552 5018</t>
  </si>
  <si>
    <t>enrique.sela@aleasturme.com</t>
  </si>
  <si>
    <t>ASKAR, Kingdom of Bahrain</t>
  </si>
  <si>
    <t>Fahad Mushtaq</t>
  </si>
  <si>
    <t>17490796</t>
  </si>
  <si>
    <t>industrial@alfaris.biz</t>
  </si>
  <si>
    <t>Riffa, Kingdom of Bahrain</t>
  </si>
  <si>
    <t>Jino Jose</t>
  </si>
  <si>
    <t>36998148</t>
  </si>
  <si>
    <t>alkomed@batelco.com.bh</t>
  </si>
  <si>
    <t>MANAMA, Kingdom of Bahrain</t>
  </si>
  <si>
    <t>DEEPESH AMBUJAN</t>
  </si>
  <si>
    <t>3665 8509</t>
  </si>
  <si>
    <t>deepesh@allvoltbh.com</t>
  </si>
  <si>
    <t>TUBLI, Kingdom of Bahrain</t>
  </si>
  <si>
    <t>Ashutosh pratap singh</t>
  </si>
  <si>
    <t>39635480</t>
  </si>
  <si>
    <t>ashutosh@almoayyedintl.com</t>
  </si>
  <si>
    <t>Ma'ameer 635, Kingdom of Bahrain</t>
  </si>
  <si>
    <t>Asif Noordeen</t>
  </si>
  <si>
    <t>39970432</t>
  </si>
  <si>
    <t>asifn@almoayyedintl.com.bh</t>
  </si>
  <si>
    <t>Chandramohan Raju</t>
  </si>
  <si>
    <t>36020233</t>
  </si>
  <si>
    <t>chandra.m@almoayyedintl.com.bh</t>
  </si>
  <si>
    <t>Dineshprasad Rai</t>
  </si>
  <si>
    <t>38201985</t>
  </si>
  <si>
    <t>dinesh@almoayyedintl.com.bh</t>
  </si>
  <si>
    <t>Faraz Shaikh</t>
  </si>
  <si>
    <t>39440131</t>
  </si>
  <si>
    <t>faraz@almoayyedintl.com.bh</t>
  </si>
  <si>
    <t>Mohammed Ehtesham Uddin</t>
  </si>
  <si>
    <t>39642251</t>
  </si>
  <si>
    <t>mehtesham@almoayyedintl.com.bh</t>
  </si>
  <si>
    <t>Serin Sam</t>
  </si>
  <si>
    <t>17700777</t>
  </si>
  <si>
    <t>serin@almoayyedintl.com.bh</t>
  </si>
  <si>
    <t>Sheby Paul Mathew</t>
  </si>
  <si>
    <t>17702609</t>
  </si>
  <si>
    <t>syamkumar.s@almoayyedintl.com.bh</t>
  </si>
  <si>
    <t>Sijo Joy</t>
  </si>
  <si>
    <t>39097351</t>
  </si>
  <si>
    <t>sijo@almoayyedintl.com.bh</t>
  </si>
  <si>
    <t>Suresh Babu</t>
  </si>
  <si>
    <t>3977 2121</t>
  </si>
  <si>
    <t>suresh.babu@almoayyedcg.com</t>
  </si>
  <si>
    <t>Amirudeen Abdul Salam</t>
  </si>
  <si>
    <t>39-831-986</t>
  </si>
  <si>
    <t>althawadicontracting@batelco.com.bh</t>
  </si>
  <si>
    <t>Abdulla Seyadee</t>
  </si>
  <si>
    <t>+973  17837884</t>
  </si>
  <si>
    <t>alba@alba.com.bh</t>
  </si>
  <si>
    <t xml:space="preserve">Building 15, Road 94, Block 951, King Hamad Highway, Askar, Manama, P.O. Box 57, Kingdom of Bahrain. </t>
  </si>
  <si>
    <t>Adrian Von Kaenel</t>
  </si>
  <si>
    <t>38488102</t>
  </si>
  <si>
    <t>adrian.kaenel@alba.com.bh</t>
  </si>
  <si>
    <t>Ahmed A. Jabbar</t>
  </si>
  <si>
    <t>+973 17837359</t>
  </si>
  <si>
    <t>quotation@alba.com.bh</t>
  </si>
  <si>
    <t>Ahmed Shaker</t>
  </si>
  <si>
    <t>66695552</t>
  </si>
  <si>
    <t>ahmed.shaker@alba.com.bh</t>
  </si>
  <si>
    <t>Ali Isa Qassab</t>
  </si>
  <si>
    <t>1783 0000</t>
  </si>
  <si>
    <t>alqassab@alba.com.bh</t>
  </si>
  <si>
    <t>Ali Mohammed</t>
  </si>
  <si>
    <t>38826689</t>
  </si>
  <si>
    <t>ali.alansari@alba.com.bh</t>
  </si>
  <si>
    <t>Ali Naser</t>
  </si>
  <si>
    <t>39577397</t>
  </si>
  <si>
    <t>ali.naser@alba.com.bh</t>
  </si>
  <si>
    <t>Ammar Ali Khamis</t>
  </si>
  <si>
    <t>ammar.alikhamis@alba.com.bh</t>
  </si>
  <si>
    <t>Bruce roger</t>
  </si>
  <si>
    <t>bruce.wilson@alba.com.bh</t>
  </si>
  <si>
    <t>Charlie S</t>
  </si>
  <si>
    <t>39218112</t>
  </si>
  <si>
    <t>s.charlie@alba.com.bh</t>
  </si>
  <si>
    <t>Hamad Jahangeer Hatem</t>
  </si>
  <si>
    <t>hamad.jahangeer@alba.com.bh</t>
  </si>
  <si>
    <t>Hatem Abbas</t>
  </si>
  <si>
    <t>39788339</t>
  </si>
  <si>
    <t>hatem.abbas@alba.com.bh</t>
  </si>
  <si>
    <t>Hesham aliaskar</t>
  </si>
  <si>
    <t>hesham.aliaskar@alba.com.bh</t>
  </si>
  <si>
    <t>Jaber Ebrahim Mohd</t>
  </si>
  <si>
    <t>jaber.ebrahim@alba.com.bh</t>
  </si>
  <si>
    <t>Kasinathan PK</t>
  </si>
  <si>
    <t>39801649</t>
  </si>
  <si>
    <t>pk.kasinathan@alba.com.bh</t>
  </si>
  <si>
    <t>Mahmood Al Hamar</t>
  </si>
  <si>
    <t>mahmood.abdulla@alba.com.bh</t>
  </si>
  <si>
    <t>Mohammed A.Shaheed</t>
  </si>
  <si>
    <t>mohammed.shaheed@alba.com.bh</t>
  </si>
  <si>
    <t>P.K. Bhilare</t>
  </si>
  <si>
    <t>pk.bhilare@alba.com.bh</t>
  </si>
  <si>
    <t>Raffaele Zoli</t>
  </si>
  <si>
    <t>38488100</t>
  </si>
  <si>
    <t>raffaele.zoli@alba.com.bh</t>
  </si>
  <si>
    <t>Samith rasane</t>
  </si>
  <si>
    <t>17837974</t>
  </si>
  <si>
    <t>samit.rasane@alba.com.bh</t>
  </si>
  <si>
    <t>Sunil Kumar Gupta</t>
  </si>
  <si>
    <t>sunil.gupta@alba.com.bh</t>
  </si>
  <si>
    <t>Syed Ebrahim Alawi</t>
  </si>
  <si>
    <t>sayed.ebrahim@alba.com.bh</t>
  </si>
  <si>
    <t>Tawfiq Abdul Adwan</t>
  </si>
  <si>
    <t>tawfiq.adwan@alba.com.bh</t>
  </si>
  <si>
    <t>Venkat Murthy</t>
  </si>
  <si>
    <t>yvrmurty@alba.com.bh</t>
  </si>
  <si>
    <t>Vivek helwatkar</t>
  </si>
  <si>
    <t>39409318</t>
  </si>
  <si>
    <t>vivek.helwatkar@alba.com.bh</t>
  </si>
  <si>
    <t>Ehsan Ehsan</t>
  </si>
  <si>
    <t>39914050</t>
  </si>
  <si>
    <t>pehsan@harsco.com</t>
  </si>
  <si>
    <t>ANILKUMAR SREENILAYAM</t>
  </si>
  <si>
    <t>17456590</t>
  </si>
  <si>
    <t>sales@amadbaeed.com</t>
  </si>
  <si>
    <t>SITRA, Kingdom of Bahrain</t>
  </si>
  <si>
    <t>Tony Mitchell</t>
  </si>
  <si>
    <t>(0)3934530</t>
  </si>
  <si>
    <t>enquiry@bes.bh</t>
  </si>
  <si>
    <t>Seef, Kingdom of Bahrain</t>
  </si>
  <si>
    <t>Benjie M Yanga Jr</t>
  </si>
  <si>
    <t>+966 - 12 - 6363825</t>
  </si>
  <si>
    <t>info@anasiasaudi.com</t>
  </si>
  <si>
    <t>Manama, Kingdom of Bahrain</t>
  </si>
  <si>
    <t>Dharma Madan Madan</t>
  </si>
  <si>
    <t>36982055</t>
  </si>
  <si>
    <t>dharmataker@gmail.com</t>
  </si>
  <si>
    <t>Mohammed Rameez</t>
  </si>
  <si>
    <t>66359194</t>
  </si>
  <si>
    <t>info@aquatt.net</t>
  </si>
  <si>
    <t>M Rameez</t>
  </si>
  <si>
    <t>rameez@aquatt.net</t>
  </si>
  <si>
    <t>Dikul Patel</t>
  </si>
  <si>
    <t>37157470</t>
  </si>
  <si>
    <t>dikulpatel@aquachemme.com</t>
  </si>
  <si>
    <t>Bahrain, Kingdom of Bahrain</t>
  </si>
  <si>
    <t>Brinto Varghese</t>
  </si>
  <si>
    <t>brinto.v@arabintl.com</t>
  </si>
  <si>
    <t>Rajesh Sharma</t>
  </si>
  <si>
    <t>+973 66734306</t>
  </si>
  <si>
    <t>rajesh.sharma@arabintl.com</t>
  </si>
  <si>
    <t>vivek sharma</t>
  </si>
  <si>
    <t>vivek.sharma@arabintl.com</t>
  </si>
  <si>
    <t>Muhammad Munawwar Hassan</t>
  </si>
  <si>
    <t>(0)39514006</t>
  </si>
  <si>
    <t>munawwar.hassan@star.adityabirla.com</t>
  </si>
  <si>
    <t>Ali Al-Afoo</t>
  </si>
  <si>
    <t>17 510 914</t>
  </si>
  <si>
    <t>a.alafow@ascsugar.com</t>
  </si>
  <si>
    <t>hidd, Kingdom of Bahrain</t>
  </si>
  <si>
    <t>Lateefuddin hasan quraishi</t>
  </si>
  <si>
    <t>(0)34045988</t>
  </si>
  <si>
    <t>l.quraishi@ascsugar.com</t>
  </si>
  <si>
    <t>S. Mohammed Alawi</t>
  </si>
  <si>
    <t>(0)38444398</t>
  </si>
  <si>
    <t>s.maki@ascsugar.com</t>
  </si>
  <si>
    <t>Muhammed Munawwar</t>
  </si>
  <si>
    <t>17671011</t>
  </si>
  <si>
    <t>Sahil Choudhary</t>
  </si>
  <si>
    <t>33976705</t>
  </si>
  <si>
    <t>sahil.choudhary@star.adityabirla.com</t>
  </si>
  <si>
    <t>Fujail Khan</t>
  </si>
  <si>
    <t>+973 6673 4356</t>
  </si>
  <si>
    <t>info@arabintl.com</t>
  </si>
  <si>
    <t>Mahazzah, Sitra, Kingdom of Bahrain</t>
  </si>
  <si>
    <t>Laxmi Narayan</t>
  </si>
  <si>
    <t>39991248</t>
  </si>
  <si>
    <t>laxmi.mahapatra@arabintl.com</t>
  </si>
  <si>
    <t>Mohammed Muddasir</t>
  </si>
  <si>
    <t>17456532</t>
  </si>
  <si>
    <t>muddasir.a@arabintl.com</t>
  </si>
  <si>
    <t>Salil Borkar</t>
  </si>
  <si>
    <t>32239244</t>
  </si>
  <si>
    <t>salil.borkar@arabintl.com</t>
  </si>
  <si>
    <t>Arif</t>
  </si>
  <si>
    <t>1311 3540</t>
  </si>
  <si>
    <t>ir@arabtecholding.com</t>
  </si>
  <si>
    <t>muharraq, Kingdom of Bahrain</t>
  </si>
  <si>
    <t>Inzamam Mushtaq</t>
  </si>
  <si>
    <t>35343404/38850540</t>
  </si>
  <si>
    <t>inmushtaq@arcenergy-bh.com</t>
  </si>
  <si>
    <t>Mahil vetharaj</t>
  </si>
  <si>
    <t>34060902</t>
  </si>
  <si>
    <t>mahil@areejtrading.com</t>
  </si>
  <si>
    <t>Salmabad, Kingdom of Bahrain</t>
  </si>
  <si>
    <t>MAHESH VELLAMKI</t>
  </si>
  <si>
    <t>36573959</t>
  </si>
  <si>
    <t>mavel@arlafoods.com</t>
  </si>
  <si>
    <t>Al Hidd, Kingdom of Bahrain</t>
  </si>
  <si>
    <t>Muhammed Irshad Rm</t>
  </si>
  <si>
    <t>33569509</t>
  </si>
  <si>
    <t>m.irshad@arrowfinch.com</t>
  </si>
  <si>
    <t>ADLIYA, Kingdom of Bahrain</t>
  </si>
  <si>
    <t>Akhil Nautiyal</t>
  </si>
  <si>
    <t>1 774 0700</t>
  </si>
  <si>
    <t>akhil@aryani.net</t>
  </si>
  <si>
    <t>RIFFA, Kingdom of Bahrain</t>
  </si>
  <si>
    <t>V. Prakash</t>
  </si>
  <si>
    <t>38179740</t>
  </si>
  <si>
    <t>prakash@aryani.net</t>
  </si>
  <si>
    <t>A. Mohammed</t>
  </si>
  <si>
    <t>+973 17699474</t>
  </si>
  <si>
    <t>a.mohamed@asiabah.com</t>
  </si>
  <si>
    <t>Murtadha AlShowaikh</t>
  </si>
  <si>
    <t>+973 32281399</t>
  </si>
  <si>
    <t>m.alshowaikh@asiabah.com</t>
  </si>
  <si>
    <t>Sayed Husain Ali</t>
  </si>
  <si>
    <t>973 38844003</t>
  </si>
  <si>
    <t>s.husain@asiabah.com</t>
  </si>
  <si>
    <t>Jalal Quawi</t>
  </si>
  <si>
    <t>37779872</t>
  </si>
  <si>
    <t>jalal@awaldairy.com</t>
  </si>
  <si>
    <t>al hajar, Kingdom of Bahrain</t>
  </si>
  <si>
    <t>Syed Omar</t>
  </si>
  <si>
    <t>business@awaldairy.com</t>
  </si>
  <si>
    <t>bahrain, Kingdom of Bahrain</t>
  </si>
  <si>
    <t>Ram Kumar</t>
  </si>
  <si>
    <t>(0) 33218653 / 33393220</t>
  </si>
  <si>
    <t>ram.p@aztec-gulf.com</t>
  </si>
  <si>
    <t>Hussain Almeel</t>
  </si>
  <si>
    <t>+973 38838915</t>
  </si>
  <si>
    <t>hussain.almeel@teekay.com</t>
  </si>
  <si>
    <t>Tim Clarke</t>
  </si>
  <si>
    <t>37375555</t>
  </si>
  <si>
    <t>timclarke@bahrainlng.com</t>
  </si>
  <si>
    <t>T. Babu Suresh</t>
  </si>
  <si>
    <t>(0)33543330</t>
  </si>
  <si>
    <t>bsuresh@bmigp.com</t>
  </si>
  <si>
    <t>Abdul samad</t>
  </si>
  <si>
    <t>17750021</t>
  </si>
  <si>
    <t>abdulsamad.hajres@banagas.com.bh</t>
  </si>
  <si>
    <t>Anindya Nandy</t>
  </si>
  <si>
    <t>17756991</t>
  </si>
  <si>
    <t>anindya.nandy@banagas.com.bh</t>
  </si>
  <si>
    <t>Sanjib changkakati</t>
  </si>
  <si>
    <t>17752318</t>
  </si>
  <si>
    <t>sanjib.changkakati@banagas.com.bh</t>
  </si>
  <si>
    <t>Yousif ayoob</t>
  </si>
  <si>
    <t>yousif.ayoob@banagas.com.bh</t>
  </si>
  <si>
    <t>Muhammad Zishan</t>
  </si>
  <si>
    <t>1610 0600</t>
  </si>
  <si>
    <t>admin@gulf-biotech.com</t>
  </si>
  <si>
    <t>BIIP, Hidd, Kingdom of Bahrain</t>
  </si>
  <si>
    <t>Leandra Ranges Escosio</t>
  </si>
  <si>
    <t>17352350</t>
  </si>
  <si>
    <t>leandra@foulath.com.bh</t>
  </si>
  <si>
    <t>Maria Theresa Cruz</t>
  </si>
  <si>
    <t>17352351</t>
  </si>
  <si>
    <t>maria.theresa@foulath.com.bh</t>
  </si>
  <si>
    <t>Micheal Jerold</t>
  </si>
  <si>
    <t>17464222</t>
  </si>
  <si>
    <t>mjerold@bahrainsteel.com.bh</t>
  </si>
  <si>
    <t>Vipin Tosniwal</t>
  </si>
  <si>
    <t>33104732</t>
  </si>
  <si>
    <t>vtosniwal@foulath.com.bh</t>
  </si>
  <si>
    <t>Indrajit Indrajit</t>
  </si>
  <si>
    <t>35458267</t>
  </si>
  <si>
    <t>indrajit@bahrainsugarrefinery.com</t>
  </si>
  <si>
    <t>Subeesh Suseelan</t>
  </si>
  <si>
    <t>6630 8840</t>
  </si>
  <si>
    <t>bwctd@batelco.com.bh</t>
  </si>
  <si>
    <t>Riffa/Alhajiyat-939, Kingdom of Bahrain</t>
  </si>
  <si>
    <t>Hussain Isa Ismaeel</t>
  </si>
  <si>
    <t>33610330</t>
  </si>
  <si>
    <t>hismaeel@balexco.com.bh</t>
  </si>
  <si>
    <t>Sitra, Kingdom of Bahrain</t>
  </si>
  <si>
    <t>Ahmmad Rafeekh Alakkalath</t>
  </si>
  <si>
    <t>39870495</t>
  </si>
  <si>
    <t>ahammad.rafeekh@banagas.com.bh</t>
  </si>
  <si>
    <t>+973 17752318</t>
  </si>
  <si>
    <t>Prakash Nair</t>
  </si>
  <si>
    <t>+973 3946 8956</t>
  </si>
  <si>
    <t>prakash@banztrading.com</t>
  </si>
  <si>
    <t>Sitra Industrial, Kingdom of Bahrain</t>
  </si>
  <si>
    <t>Arunagiri Adikesavan</t>
  </si>
  <si>
    <t>1714 9037</t>
  </si>
  <si>
    <t>arunagiri_adikesavan@tatweerpetroleum.com</t>
  </si>
  <si>
    <t xml:space="preserve">P.O. Box 25555, Awali, Kingdom of Bahrain. </t>
  </si>
  <si>
    <t>Ashok P.V</t>
  </si>
  <si>
    <t>38880357</t>
  </si>
  <si>
    <t>ashok_vasudevan@tatweerpetroleum.com</t>
  </si>
  <si>
    <t>Ashvinkumar Behal</t>
  </si>
  <si>
    <t>38885081</t>
  </si>
  <si>
    <t>ashvin_behal@tatweerpetroleum.com</t>
  </si>
  <si>
    <t>Hisham Alseba</t>
  </si>
  <si>
    <t>hisham_alseba@tatweerpetroleum.com</t>
  </si>
  <si>
    <t>Isa abdulkarim</t>
  </si>
  <si>
    <t>17148625</t>
  </si>
  <si>
    <t>isa_abdulkarim@tatweerpetroleum.com</t>
  </si>
  <si>
    <t>Jose Peter</t>
  </si>
  <si>
    <t>38880456</t>
  </si>
  <si>
    <t>jose_peter@tatweerpetroleum.com</t>
  </si>
  <si>
    <t>Raoof Abdulla Abdul-Rahim</t>
  </si>
  <si>
    <t>38881943</t>
  </si>
  <si>
    <t>raoof_abdulrahim@tatweerpertoleum.com</t>
  </si>
  <si>
    <t>Ruqaya Ghuloom</t>
  </si>
  <si>
    <t>17148684</t>
  </si>
  <si>
    <t>ruqaya_abbas@tatweerpetroleum.com</t>
  </si>
  <si>
    <t>Saket Gupta</t>
  </si>
  <si>
    <t>33748700</t>
  </si>
  <si>
    <t>saket_gupta@tatweerpetroleum.com</t>
  </si>
  <si>
    <t>Salah Abdulrahman</t>
  </si>
  <si>
    <t>1714 8625</t>
  </si>
  <si>
    <t>salah_abdulrahman@tatweerpetroleum.com</t>
  </si>
  <si>
    <t>Sarah Hussein</t>
  </si>
  <si>
    <t>3888 1834</t>
  </si>
  <si>
    <t>sara_hussein@tatweerpetroleum.com</t>
  </si>
  <si>
    <t>Sawsan Ali Al Kuwari</t>
  </si>
  <si>
    <t>38880422</t>
  </si>
  <si>
    <t>sawsan_alkuwari@tatweerpetroleum.com</t>
  </si>
  <si>
    <t>Stephen Harrison</t>
  </si>
  <si>
    <t>38880965</t>
  </si>
  <si>
    <t>stephen_harrison@tatweerpetroleum.com</t>
  </si>
  <si>
    <t>Steve madeley</t>
  </si>
  <si>
    <t>stephen_madeley@tatweerpetroleum.com</t>
  </si>
  <si>
    <t>Husain Matar</t>
  </si>
  <si>
    <t>39477750</t>
  </si>
  <si>
    <t>husain.matar@basf.com</t>
  </si>
  <si>
    <t>Tariq Elzubeir</t>
  </si>
  <si>
    <t>97333604425</t>
  </si>
  <si>
    <t>tariq.elzubeir@basf.com</t>
  </si>
  <si>
    <t>Abdul Redha</t>
  </si>
  <si>
    <t>info@bac.bh</t>
  </si>
  <si>
    <t>Muhhraq, Kingdom of Bahrain</t>
  </si>
  <si>
    <t>Tareq Ahmed</t>
  </si>
  <si>
    <t>enquiries@bmmi.com.bh</t>
  </si>
  <si>
    <t>Praveen Prasobh</t>
  </si>
  <si>
    <t>17 29 21 57</t>
  </si>
  <si>
    <t>praveen@brightlinebh.com</t>
  </si>
  <si>
    <t>Alsalmaniya, Kingdom of Bahrain</t>
  </si>
  <si>
    <t>Sarath V P</t>
  </si>
  <si>
    <t>36792255</t>
  </si>
  <si>
    <t>sarath@brightlinebh.com</t>
  </si>
  <si>
    <t>Muhammad Raheel</t>
  </si>
  <si>
    <t>efaxbatelcogroup@gmail.com</t>
  </si>
  <si>
    <t>HIDD, Kingdom of Bahrain</t>
  </si>
  <si>
    <t>Nadeem Anees Ahmad</t>
  </si>
  <si>
    <t>39746711</t>
  </si>
  <si>
    <t>nadeem@bahrainswitchgear.com</t>
  </si>
  <si>
    <t>Surjith THOMAS</t>
  </si>
  <si>
    <t>(0)3655640</t>
  </si>
  <si>
    <t>surjith.thomas@cegelec.com</t>
  </si>
  <si>
    <t>Muhammad Umer Javed</t>
  </si>
  <si>
    <t>36044863</t>
  </si>
  <si>
    <t>umer@cellmec.com</t>
  </si>
  <si>
    <t>Mahmood Abdulla</t>
  </si>
  <si>
    <t>36666192</t>
  </si>
  <si>
    <t>info@centralpps.com</t>
  </si>
  <si>
    <t>Seef District, Kingdom of Bahrain</t>
  </si>
  <si>
    <t>Shaji T</t>
  </si>
  <si>
    <t>36055607</t>
  </si>
  <si>
    <t>t.shaji@actemium.com</t>
  </si>
  <si>
    <t>P.O. Box 26949, Adliya, Kingdom of Bahrain</t>
  </si>
  <si>
    <t>Shajil PV</t>
  </si>
  <si>
    <t>17773006</t>
  </si>
  <si>
    <t>shajil.pv@actemium.com</t>
  </si>
  <si>
    <t>Sudesh Kotian</t>
  </si>
  <si>
    <t>sudesh.kotian@actemium-eps.com</t>
  </si>
  <si>
    <t>Vaibhav Zende</t>
  </si>
  <si>
    <t>35132765</t>
  </si>
  <si>
    <t>vaibhav.zende@actemium-eps.com</t>
  </si>
  <si>
    <t>Vipish Muraleedharan Pillai</t>
  </si>
  <si>
    <t>+973 3353 0133</t>
  </si>
  <si>
    <t>vipish.pillai@actemium.com</t>
  </si>
  <si>
    <t>Yogesha Mallappa</t>
  </si>
  <si>
    <t>mallappa@actemium-eps.com</t>
  </si>
  <si>
    <t>Masud Ahmed</t>
  </si>
  <si>
    <t>66360752</t>
  </si>
  <si>
    <t>cissales@alkhalidiagroup.com</t>
  </si>
  <si>
    <t>39340530</t>
  </si>
  <si>
    <t>tony.mitchell@contaxpartners.com</t>
  </si>
  <si>
    <t>seef, Kingdom of Bahrain</t>
  </si>
  <si>
    <t>Abdullah Khan</t>
  </si>
  <si>
    <t>36150795</t>
  </si>
  <si>
    <t>akhan@afg.bh</t>
  </si>
  <si>
    <t>Babar Saleem</t>
  </si>
  <si>
    <t>36748668</t>
  </si>
  <si>
    <t>bsaleem@afg.bh</t>
  </si>
  <si>
    <t>Aswathy Nair</t>
  </si>
  <si>
    <t>17212260</t>
  </si>
  <si>
    <t>aswathy@mts.mannaitech.com</t>
  </si>
  <si>
    <t>Krishna M.L</t>
  </si>
  <si>
    <t>39966850</t>
  </si>
  <si>
    <t>krishna@mannaitech.com</t>
  </si>
  <si>
    <t>Mohamed Aarif Omar</t>
  </si>
  <si>
    <t>505926614</t>
  </si>
  <si>
    <t>aarif@mannaitech.com</t>
  </si>
  <si>
    <t>Senthil Nathan</t>
  </si>
  <si>
    <t>senthil@mannaitech.com</t>
  </si>
  <si>
    <t>Taleb Hashim</t>
  </si>
  <si>
    <t>central.power.th@gmail.com</t>
  </si>
  <si>
    <t>Winona Rotap</t>
  </si>
  <si>
    <t>(0) 17 552-292</t>
  </si>
  <si>
    <t>S Inayathulla</t>
  </si>
  <si>
    <t>s.inayadullah@cemsbahrain.com</t>
  </si>
  <si>
    <t>Rohita Rohita</t>
  </si>
  <si>
    <t>39345603</t>
  </si>
  <si>
    <t>rohitha.kumara@ihg.com</t>
  </si>
  <si>
    <t>Shanmugam Apparsamy</t>
  </si>
  <si>
    <t>(0)36575746</t>
  </si>
  <si>
    <t>shanmugam.apparsamy@dalkia-me.com</t>
  </si>
  <si>
    <t>Business Bay, Kingdom of Bahrain</t>
  </si>
  <si>
    <t>Venkateswaran Seshadri</t>
  </si>
  <si>
    <t>(0) 36 575 726</t>
  </si>
  <si>
    <t>info@dalkia.com</t>
  </si>
  <si>
    <t>Samuel MAS</t>
  </si>
  <si>
    <t>(0)38838975</t>
  </si>
  <si>
    <t>samuel.mas@degremont.com</t>
  </si>
  <si>
    <t>SEEF DISTRICT, Kingdom of Bahrain</t>
  </si>
  <si>
    <t>Afzal Afzal</t>
  </si>
  <si>
    <t>afzal@deltabahrain.com</t>
  </si>
  <si>
    <t>Jhun Tandoc</t>
  </si>
  <si>
    <t>38873367</t>
  </si>
  <si>
    <t>jhun@deltabahrain.com</t>
  </si>
  <si>
    <t>Pradeep Kumar</t>
  </si>
  <si>
    <t>17280009</t>
  </si>
  <si>
    <t>admindg@deltaelectricals.com</t>
  </si>
  <si>
    <t>Firas Barakat</t>
  </si>
  <si>
    <t>39964111</t>
  </si>
  <si>
    <t>fb@eaglehills.com</t>
  </si>
  <si>
    <t>diyar muharraq, Kingdom of Bahrain</t>
  </si>
  <si>
    <t>Dipu Varghese</t>
  </si>
  <si>
    <t>17980681</t>
  </si>
  <si>
    <t>info@eautechsolutions.com</t>
  </si>
  <si>
    <t>Binil Babu</t>
  </si>
  <si>
    <t>33660477</t>
  </si>
  <si>
    <t>binil@emescobh.com</t>
  </si>
  <si>
    <t>SALMABAD 704, Kingdom of Bahrain</t>
  </si>
  <si>
    <t>RENJITH RAMACHANDRAN NAIR</t>
  </si>
  <si>
    <t>+966541330146</t>
  </si>
  <si>
    <t>renjith.ramachandran@eltekon.us</t>
  </si>
  <si>
    <t>NATARAJAN PILLAI</t>
  </si>
  <si>
    <t>33067448</t>
  </si>
  <si>
    <t>pillai@emcebh.com</t>
  </si>
  <si>
    <t>Eker, Kingdom of Bahrain</t>
  </si>
  <si>
    <t>RajeshKumar .V</t>
  </si>
  <si>
    <t>(0)3691765</t>
  </si>
  <si>
    <t>vadakkedath.rajesh@efsme.com</t>
  </si>
  <si>
    <t>Ram</t>
  </si>
  <si>
    <t>+973 39936929</t>
  </si>
  <si>
    <t>ram@ecubswc.com</t>
  </si>
  <si>
    <t>Sayed Majed Jawad</t>
  </si>
  <si>
    <t>39876140</t>
  </si>
  <si>
    <t>smajed82@gmail.com</t>
  </si>
  <si>
    <t>999 Durrat Bahrain, Kingdom of Bahrain</t>
  </si>
  <si>
    <t>Annel Garcia</t>
  </si>
  <si>
    <t>39454485</t>
  </si>
  <si>
    <t>annel.garcia@enerserv.com.bh</t>
  </si>
  <si>
    <t>Bu Quwah, Kingdom of Bahrain</t>
  </si>
  <si>
    <t>Reisa Llorca</t>
  </si>
  <si>
    <t>+973 36548298</t>
  </si>
  <si>
    <t>reisa.llorca@enerserv.com.bh</t>
  </si>
  <si>
    <t>JITHIN GEORGE THOMAS</t>
  </si>
  <si>
    <t>34075791</t>
  </si>
  <si>
    <t>jithwithu03@gmail.com</t>
  </si>
  <si>
    <t>Roby P Roy</t>
  </si>
  <si>
    <t>38 97 0231</t>
  </si>
  <si>
    <t>r.roby@everongcc.com</t>
  </si>
  <si>
    <t>Ali Abdul Nabi</t>
  </si>
  <si>
    <t>17997122</t>
  </si>
  <si>
    <t>ali.anabi@ewa.bh</t>
  </si>
  <si>
    <t xml:space="preserve">P.O. Box 5, Manama, Kingdom of Bahrain. </t>
  </si>
  <si>
    <t>Ali Juma</t>
  </si>
  <si>
    <t>alia.jumah@ewa.bh</t>
  </si>
  <si>
    <t>D.H .Panchal</t>
  </si>
  <si>
    <t>(0)3653182</t>
  </si>
  <si>
    <t>dh.panchal@ewa.bh</t>
  </si>
  <si>
    <t>Deepak Gupta</t>
  </si>
  <si>
    <t>deepak.gupta@ewa.bh</t>
  </si>
  <si>
    <t>HASSAN ABDULLA ABBAS</t>
  </si>
  <si>
    <t>36053357</t>
  </si>
  <si>
    <t>hassan.mohammed@ewa.bh</t>
  </si>
  <si>
    <t>Hawra Majeed Dhaif</t>
  </si>
  <si>
    <t>1799 5543</t>
  </si>
  <si>
    <t>hawram.dhaif@ewa.bh</t>
  </si>
  <si>
    <t>Khadija AbdulKarim AlAradi</t>
  </si>
  <si>
    <t>17995520</t>
  </si>
  <si>
    <t>khadijaa.alaradi@ewa.bh</t>
  </si>
  <si>
    <t>Mahmood Al Ojaimi</t>
  </si>
  <si>
    <t>customercare-ewa@ewa.bh</t>
  </si>
  <si>
    <t>Mahood Saeed Al ojaimi</t>
  </si>
  <si>
    <t>36053135</t>
  </si>
  <si>
    <t>mahmood.alojaimi@ewa.bh</t>
  </si>
  <si>
    <t>Mohamed Ahmed Al Aali</t>
  </si>
  <si>
    <t>36054460</t>
  </si>
  <si>
    <t>mohameda.alaali@ewa.bh</t>
  </si>
  <si>
    <t>Mohamed Khalaf Ahmed</t>
  </si>
  <si>
    <t>38485333</t>
  </si>
  <si>
    <t>mohamedk.jaifees@ewa.bh</t>
  </si>
  <si>
    <t>MOHAMMED JAFFAR KHALIL</t>
  </si>
  <si>
    <t>mohammed.khalil@ewa.bh</t>
  </si>
  <si>
    <t>Prasad Kurien</t>
  </si>
  <si>
    <t>prasad.kurien@ewa.bh</t>
  </si>
  <si>
    <t>Raghunadhababu Vadlamudi</t>
  </si>
  <si>
    <t>raghunadhababu.vadiamudi@mew.gov.bh</t>
  </si>
  <si>
    <t>Sara Shaheen</t>
  </si>
  <si>
    <t>17995649</t>
  </si>
  <si>
    <t>saras.abdulwahab@ewa.bh</t>
  </si>
  <si>
    <t>Yaqoob Yusuf</t>
  </si>
  <si>
    <t>yaqoobaa.nabi@ewa.gov.bh</t>
  </si>
  <si>
    <t>Ahmed Soroor</t>
  </si>
  <si>
    <t>77144446</t>
  </si>
  <si>
    <t>asoroor@falcon-cement.com</t>
  </si>
  <si>
    <t>Hafira, Kingdom of Bahrain</t>
  </si>
  <si>
    <t>Arafath Ahmed</t>
  </si>
  <si>
    <t>36284023</t>
  </si>
  <si>
    <t>arafath@falcon-cement.com</t>
  </si>
  <si>
    <t>Atif Mohammed</t>
  </si>
  <si>
    <t>atifm@falcon-cement.com</t>
  </si>
  <si>
    <t>Khalil Ur Rahman</t>
  </si>
  <si>
    <t>36284021</t>
  </si>
  <si>
    <t>khalil@falcon-cement.com</t>
  </si>
  <si>
    <t>Nazeer Mohammad</t>
  </si>
  <si>
    <t>36284032</t>
  </si>
  <si>
    <t>nazeer@falcon-cement.com</t>
  </si>
  <si>
    <t>Sudhir Kumar Nashte</t>
  </si>
  <si>
    <t>77144443</t>
  </si>
  <si>
    <t>info@falcon-cement.com</t>
  </si>
  <si>
    <t>Jameel Hassan Mahmoud</t>
  </si>
  <si>
    <t>17364781</t>
  </si>
  <si>
    <t>info@finefoodsbah.com</t>
  </si>
  <si>
    <t>Abdulla Alherz</t>
  </si>
  <si>
    <t>973 3366 0875</t>
  </si>
  <si>
    <t>abdulla.alherz@fivesgroup.com</t>
  </si>
  <si>
    <t>Building 775, Road 4811, Block 948, LHASSAY, Kingdom of Bahrain.</t>
  </si>
  <si>
    <t>Agnes Acosta</t>
  </si>
  <si>
    <t>17831183</t>
  </si>
  <si>
    <t>agnes.acosta@fivesgroup.com</t>
  </si>
  <si>
    <t>Ali LUTFALLA</t>
  </si>
  <si>
    <t>13102533</t>
  </si>
  <si>
    <t>ali.lutfalla@fivesgroup.com</t>
  </si>
  <si>
    <t>Husain ALSWAR</t>
  </si>
  <si>
    <t>husain.alswar@fivesgroup.com</t>
  </si>
  <si>
    <t>Hussain Ali</t>
  </si>
  <si>
    <t>hussain.ali@fivesgroup.com</t>
  </si>
  <si>
    <t>NIRMAL .R.K</t>
  </si>
  <si>
    <t>33846114</t>
  </si>
  <si>
    <t>nirmal.nimmu@fivesgroup.com</t>
  </si>
  <si>
    <t>Sayed Mohammed Alawi Ebrahim</t>
  </si>
  <si>
    <t>3368 1112</t>
  </si>
  <si>
    <t>sayed-mohammad.alawi@fivesgroup.com</t>
  </si>
  <si>
    <t>Taher Ahmed</t>
  </si>
  <si>
    <t>taher.ahmed@fivesgroup.com</t>
  </si>
  <si>
    <t>Shafeeq Ahamed</t>
  </si>
  <si>
    <t>66765227</t>
  </si>
  <si>
    <t>electrical@florabh.com</t>
  </si>
  <si>
    <t>Nuwaidrat Area, Kingdom of Bahrain</t>
  </si>
  <si>
    <t>Elias John Kassis</t>
  </si>
  <si>
    <t>39795835</t>
  </si>
  <si>
    <t>elias.kassis@flowlead.net</t>
  </si>
  <si>
    <t>Amwaj Islands, Kingdom of Bahrain</t>
  </si>
  <si>
    <t>Eslam Radwan</t>
  </si>
  <si>
    <t>0097336083673</t>
  </si>
  <si>
    <t>eslam@gmetglobal.co.uk</t>
  </si>
  <si>
    <t>Ali Mohsen</t>
  </si>
  <si>
    <t>39466226</t>
  </si>
  <si>
    <t>ali.mohsen@gramco.com</t>
  </si>
  <si>
    <t>Sunil T S</t>
  </si>
  <si>
    <t>33117703</t>
  </si>
  <si>
    <t>sunil@globaldiameter.com</t>
  </si>
  <si>
    <t>Adliya, Kingdom of Bahrain</t>
  </si>
  <si>
    <t>Ajwin Hanzel Joy</t>
  </si>
  <si>
    <t>34348220</t>
  </si>
  <si>
    <t>ajwin@gir-group.com</t>
  </si>
  <si>
    <t>Jacques Coetzee</t>
  </si>
  <si>
    <t>36062446</t>
  </si>
  <si>
    <t>jcoetzee@gldd.com</t>
  </si>
  <si>
    <t>3966 0914</t>
  </si>
  <si>
    <t>gatcgulf@batelco.com.bh</t>
  </si>
  <si>
    <t>Mahmood Mahmood</t>
  </si>
  <si>
    <t>(0) 39 66 09 14</t>
  </si>
  <si>
    <t>gatcgulf@gmail.com</t>
  </si>
  <si>
    <t>Suresh Mohan</t>
  </si>
  <si>
    <t>17274686</t>
  </si>
  <si>
    <t>admin@greenstarac.net</t>
  </si>
  <si>
    <t>SENTHIL CHINNASAMY</t>
  </si>
  <si>
    <t>973 35368365</t>
  </si>
  <si>
    <t>cso@greengroves.net</t>
  </si>
  <si>
    <t>Munavar de Miya Shaik</t>
  </si>
  <si>
    <t>33555089</t>
  </si>
  <si>
    <t>mmshaik@greentechmiddleeastgroup.com</t>
  </si>
  <si>
    <t>Paul Kolencheril</t>
  </si>
  <si>
    <t>39464863</t>
  </si>
  <si>
    <t>paul@greentechgulf.com</t>
  </si>
  <si>
    <t>Mais Al-Manajreh</t>
  </si>
  <si>
    <t>6471138</t>
  </si>
  <si>
    <t>maismn@yahoo.com</t>
  </si>
  <si>
    <t>manama, Kingdom of Bahrain</t>
  </si>
  <si>
    <t>Salem Gammoh</t>
  </si>
  <si>
    <t>contactus@aqua-treat.com</t>
  </si>
  <si>
    <t>Bhoopala Krishnan</t>
  </si>
  <si>
    <t>35978065</t>
  </si>
  <si>
    <t>bhoopala.krishnan@garmco.com</t>
  </si>
  <si>
    <t>North Sitra Industrial Area, Kingdom of Bahrain</t>
  </si>
  <si>
    <t>SAYED MOHAMMED ABDULLA</t>
  </si>
  <si>
    <t>sayed.abdulla@garmco.com</t>
  </si>
  <si>
    <t>Waqar Ahmad</t>
  </si>
  <si>
    <t>13110099</t>
  </si>
  <si>
    <t>Ratheesh Ramesh</t>
  </si>
  <si>
    <t>36888020</t>
  </si>
  <si>
    <t>ratheesh@gulfmarketsintl.com</t>
  </si>
  <si>
    <t>Syed Masud Javeed</t>
  </si>
  <si>
    <t>36890222</t>
  </si>
  <si>
    <t>smjaved@gulfmarketsintl.com</t>
  </si>
  <si>
    <t>Abdulla Budhaish</t>
  </si>
  <si>
    <t>1773336400</t>
  </si>
  <si>
    <t>abdulla.budhaish@hotmail.com</t>
  </si>
  <si>
    <t xml:space="preserve">P.O. Box 1, Manama, Kingdom of Bahrain. </t>
  </si>
  <si>
    <t>Ashokkumar T K</t>
  </si>
  <si>
    <t>17733634</t>
  </si>
  <si>
    <t>akumar@gpic.net</t>
  </si>
  <si>
    <t>Entesar Falah Ali Albinfalah</t>
  </si>
  <si>
    <t>+973-177 33 357</t>
  </si>
  <si>
    <t>ealbinfalah@gpic.net</t>
  </si>
  <si>
    <t>Gautam Sabui</t>
  </si>
  <si>
    <t>17733368</t>
  </si>
  <si>
    <t>purchasing_gautam@gpic.net</t>
  </si>
  <si>
    <t>Jassim Darwish</t>
  </si>
  <si>
    <t>17733345</t>
  </si>
  <si>
    <t>jdarwish@gpic.net</t>
  </si>
  <si>
    <t>Kandasamy Gopala</t>
  </si>
  <si>
    <t>17733868</t>
  </si>
  <si>
    <t>kgopalasamy@gpic.net</t>
  </si>
  <si>
    <t>Manivannan Kesavan</t>
  </si>
  <si>
    <t>17733364</t>
  </si>
  <si>
    <t>purchasing_manivannan@gpic.net</t>
  </si>
  <si>
    <t>Mohamed Al Thawadi</t>
  </si>
  <si>
    <t>bojassim_2008@hotmail.com</t>
  </si>
  <si>
    <t>Paresh Saradhara</t>
  </si>
  <si>
    <t>paresh_rec3@yahoo.co.in</t>
  </si>
  <si>
    <t>Vipul Kumar Shah</t>
  </si>
  <si>
    <t>vshah@gpic.net</t>
  </si>
  <si>
    <t>Yusuf Sayadi</t>
  </si>
  <si>
    <t>177 33 342</t>
  </si>
  <si>
    <t>purchasing_yusuf@gpic.net</t>
  </si>
  <si>
    <t>Dheepan Sundar</t>
  </si>
  <si>
    <t>966 56 988 3557</t>
  </si>
  <si>
    <t>info@snipeengineers.com</t>
  </si>
  <si>
    <t>Mohammed Ahmed</t>
  </si>
  <si>
    <t>36544433</t>
  </si>
  <si>
    <t>mohahm@pyrotek.com</t>
  </si>
  <si>
    <t>Viji Vipinan</t>
  </si>
  <si>
    <t>38350225</t>
  </si>
  <si>
    <t>viji.vipinan@harrispye.com</t>
  </si>
  <si>
    <t>Jaya Prakesh</t>
  </si>
  <si>
    <t>39711457</t>
  </si>
  <si>
    <t>hempel@batelco.com.bh</t>
  </si>
  <si>
    <t>Sakeena Sakeena</t>
  </si>
  <si>
    <t>17242422</t>
  </si>
  <si>
    <t>hecwll@batelco.com.bh</t>
  </si>
  <si>
    <t>Amal Mubarak</t>
  </si>
  <si>
    <t>36067127</t>
  </si>
  <si>
    <t>amal.mubarak@hpc.com.bh</t>
  </si>
  <si>
    <t>Ameena Salih Yousuf Al-Muharraqi</t>
  </si>
  <si>
    <t>17679471</t>
  </si>
  <si>
    <t>ameena.yousuf@hpc.com.bh</t>
  </si>
  <si>
    <t>Anoop Kumar</t>
  </si>
  <si>
    <t>36065161</t>
  </si>
  <si>
    <t>anoop.oravankara@hpc.com.bh</t>
  </si>
  <si>
    <t>Imthiyaz Ahmed</t>
  </si>
  <si>
    <t>17679442</t>
  </si>
  <si>
    <t>imthiyaz.ahmed@hpc.com.bh</t>
  </si>
  <si>
    <t>Vijaykumar pb</t>
  </si>
  <si>
    <t>36990299</t>
  </si>
  <si>
    <t>vijayakumar.pb@hpc.com.bh</t>
  </si>
  <si>
    <t>Ibrahim Mustafa</t>
  </si>
  <si>
    <t>3355-9973</t>
  </si>
  <si>
    <t>md@howdajbh.com</t>
  </si>
  <si>
    <t>sanabis, Kingdom of Bahrain</t>
  </si>
  <si>
    <t>EHAB ALBAKRI</t>
  </si>
  <si>
    <t>973 32004066</t>
  </si>
  <si>
    <t>ehab@gulfhydrotech.com</t>
  </si>
  <si>
    <t>Man, Kingdom of Bahrain</t>
  </si>
  <si>
    <t>Marlom R Pergis</t>
  </si>
  <si>
    <t>17230683</t>
  </si>
  <si>
    <t>hyshin20@hyundai-electric.com</t>
  </si>
  <si>
    <t>mandar Patankar</t>
  </si>
  <si>
    <t>(0)33619156</t>
  </si>
  <si>
    <t>mandar.patankar@imerys.com</t>
  </si>
  <si>
    <t>Hidd Industrial Area, Kingdom of Bahrain</t>
  </si>
  <si>
    <t>N G Raghu Kumar</t>
  </si>
  <si>
    <t>33619155</t>
  </si>
  <si>
    <t>raghu.kumar@imerys.com</t>
  </si>
  <si>
    <t>Mandar Patankar</t>
  </si>
  <si>
    <t>33619156</t>
  </si>
  <si>
    <t>Sathish Datla</t>
  </si>
  <si>
    <t>33619116</t>
  </si>
  <si>
    <t>sathish.datla@imerys.com</t>
  </si>
  <si>
    <t>Syed Rayan</t>
  </si>
  <si>
    <t>38844459</t>
  </si>
  <si>
    <t>syedr@inseal-me.com</t>
  </si>
  <si>
    <t>Manama, Kingdom of Bahrain, Kingdom of Bahrain</t>
  </si>
  <si>
    <t>Parag Singhvi</t>
  </si>
  <si>
    <t>35327650</t>
  </si>
  <si>
    <t>sales.instaindustrial@outlook.com</t>
  </si>
  <si>
    <t>R Ananth</t>
  </si>
  <si>
    <t>33857307</t>
  </si>
  <si>
    <t>ro.engineer.climcon@intercol.com</t>
  </si>
  <si>
    <t>Ramesh Gnanasekaran</t>
  </si>
  <si>
    <t>37378007</t>
  </si>
  <si>
    <t>chemical.climcon@intercol.com</t>
  </si>
  <si>
    <t>Sujo Pulikottil</t>
  </si>
  <si>
    <t>(0)17246118</t>
  </si>
  <si>
    <t>isee@batelco.com.bh</t>
  </si>
  <si>
    <t>Lito Ramos</t>
  </si>
  <si>
    <t>(0)66398807</t>
  </si>
  <si>
    <t>ramos@itss-bahrain.com</t>
  </si>
  <si>
    <t>Mahmood Al Burshaid</t>
  </si>
  <si>
    <t>(0).17.710666</t>
  </si>
  <si>
    <t>burshad1@batelco.com.bh</t>
  </si>
  <si>
    <t>Genesh K Nair</t>
  </si>
  <si>
    <t>39 673436</t>
  </si>
  <si>
    <t>genesh.nair@agoraspa.it</t>
  </si>
  <si>
    <t>Budaiya, Kingdom of Bahrain</t>
  </si>
  <si>
    <t>Gopala Krishnan</t>
  </si>
  <si>
    <t>gopal@itss-bahrain.com</t>
  </si>
  <si>
    <t>Sugin Durai</t>
  </si>
  <si>
    <t>+973 32 24 99 96</t>
  </si>
  <si>
    <t>sugin@ivgroup.bh</t>
  </si>
  <si>
    <t>Hasan Mizal</t>
  </si>
  <si>
    <t>33373880</t>
  </si>
  <si>
    <t>hasan.mizal@jacobs.com</t>
  </si>
  <si>
    <t>Patrick Kavan</t>
  </si>
  <si>
    <t>33334182</t>
  </si>
  <si>
    <t>patrick.kavan@jacobs.com</t>
  </si>
  <si>
    <t>Abey Ignatius</t>
  </si>
  <si>
    <t>0097335549593</t>
  </si>
  <si>
    <t>abey@jadawel-bah.com</t>
  </si>
  <si>
    <t>Mohamed riyaz. A. M.</t>
  </si>
  <si>
    <t>37 271 273</t>
  </si>
  <si>
    <t>jasco100044@gmail.com</t>
  </si>
  <si>
    <t>Ashfaq Shaikh</t>
  </si>
  <si>
    <t>36512849</t>
  </si>
  <si>
    <t>ashfaq_shaikh@jalal.com</t>
  </si>
  <si>
    <t>Raimond fontain</t>
  </si>
  <si>
    <t>39944287</t>
  </si>
  <si>
    <t>raimond_fontaine@jalal.com</t>
  </si>
  <si>
    <t>Sudeep Gaotra</t>
  </si>
  <si>
    <t>17181500</t>
  </si>
  <si>
    <t>sudeepgandotra@jbfbah.com.bh</t>
  </si>
  <si>
    <t>Atul Mathew</t>
  </si>
  <si>
    <t>3950 6201</t>
  </si>
  <si>
    <t>sales@jethrotrading.com</t>
  </si>
  <si>
    <t>Anas Ali</t>
  </si>
  <si>
    <t>(0)36792322</t>
  </si>
  <si>
    <t>anas@jgbinternational.com</t>
  </si>
  <si>
    <t>RAZIK MOHAMED</t>
  </si>
  <si>
    <t>3434 9393</t>
  </si>
  <si>
    <t>razik@jgbinternational.com</t>
  </si>
  <si>
    <t>Piccarlo Maristela</t>
  </si>
  <si>
    <t>33608795</t>
  </si>
  <si>
    <t>piccarlo.maristela@jci.com</t>
  </si>
  <si>
    <t>AMAL GOVIND</t>
  </si>
  <si>
    <t>37116367</t>
  </si>
  <si>
    <t>support@kembh.com</t>
  </si>
  <si>
    <t>Mohamed omar sherif</t>
  </si>
  <si>
    <t>66393976</t>
  </si>
  <si>
    <t>mohamed.sherif@kar-group.com</t>
  </si>
  <si>
    <t>Alan George</t>
  </si>
  <si>
    <t>33716158</t>
  </si>
  <si>
    <t>alan@koohejitechnical.com</t>
  </si>
  <si>
    <t>Ras Zuwayed, Kingdom of Bahrain</t>
  </si>
  <si>
    <t>Lateefuddin Hasan Quraishi</t>
  </si>
  <si>
    <t>34151773</t>
  </si>
  <si>
    <t>lateef@koohejitechnical.com</t>
  </si>
  <si>
    <t>Sadique Adiraja</t>
  </si>
  <si>
    <t>35608849</t>
  </si>
  <si>
    <t>kgt1@batelco.com.bh</t>
  </si>
  <si>
    <t>Paresh Prajapati</t>
  </si>
  <si>
    <t>35102777</t>
  </si>
  <si>
    <t>paresh.p@kraum-spruk.com</t>
  </si>
  <si>
    <t>SEEF, Bahrain, Kingdom of Bahrain</t>
  </si>
  <si>
    <t>Amit KHATTAR</t>
  </si>
  <si>
    <t>amit.khattar@lnttechservices.com</t>
  </si>
  <si>
    <t>Asif Qadri</t>
  </si>
  <si>
    <t>36425152</t>
  </si>
  <si>
    <t>aqadri@unifrax.com</t>
  </si>
  <si>
    <t>Biju Varghese</t>
  </si>
  <si>
    <t>sales@lbhme.com</t>
  </si>
  <si>
    <t>Sanabis, Kingdom of Bahrain</t>
  </si>
  <si>
    <t>Ahmed Marey</t>
  </si>
  <si>
    <t>34512159</t>
  </si>
  <si>
    <t>bd@leocomgroup.com</t>
  </si>
  <si>
    <t>Ranjan Pimple</t>
  </si>
  <si>
    <t>33563366</t>
  </si>
  <si>
    <t>Julkarnayan Khurshid</t>
  </si>
  <si>
    <t>+973 66751240</t>
  </si>
  <si>
    <t>julkar@mannaitech.com</t>
  </si>
  <si>
    <t>Shaikh Faisal</t>
  </si>
  <si>
    <t>33928402</t>
  </si>
  <si>
    <t>projects@maxwell-piping.com</t>
  </si>
  <si>
    <t>Galali, Kingdom of Bahrain</t>
  </si>
  <si>
    <t>Afaque Ahmed</t>
  </si>
  <si>
    <t>973 1740 2050</t>
  </si>
  <si>
    <t>afaque@mcsix.me</t>
  </si>
  <si>
    <t>AlSeef District, Block 428, Kingdom of Bahrain</t>
  </si>
  <si>
    <t>Anand Ethirajulu</t>
  </si>
  <si>
    <t>e_anand@mcscwll.com</t>
  </si>
  <si>
    <t>Sanad, Kingdom of Bahrain</t>
  </si>
  <si>
    <t>Anil I.R.K Kumar</t>
  </si>
  <si>
    <t>66391120</t>
  </si>
  <si>
    <t>k_anil@mcscwll.com</t>
  </si>
  <si>
    <t>Rajasekaran Anandaraj</t>
  </si>
  <si>
    <t>33443823</t>
  </si>
  <si>
    <t>r_anandaraj@mcscwll.com</t>
  </si>
  <si>
    <t>KARTHIK CHIDAMBARAM</t>
  </si>
  <si>
    <t>karthik@mcsix.me</t>
  </si>
  <si>
    <t>Kumar Kumar</t>
  </si>
  <si>
    <t>39447666</t>
  </si>
  <si>
    <t>s.kumar@mechtechinternational.com</t>
  </si>
  <si>
    <t>Shanavas Navab</t>
  </si>
  <si>
    <t>+973 33627237</t>
  </si>
  <si>
    <t>shanavas@meharint.com</t>
  </si>
  <si>
    <t>Bukhowarah, Kingdom of Bahrain</t>
  </si>
  <si>
    <t>Jagan Murugan</t>
  </si>
  <si>
    <t>39908210</t>
  </si>
  <si>
    <t>jagan.murugan@mercurymena.com</t>
  </si>
  <si>
    <t>Manibalan Subash</t>
  </si>
  <si>
    <t>35381032</t>
  </si>
  <si>
    <t>manibalan.subash@mercurymena.com</t>
  </si>
  <si>
    <t>Ameer Ali</t>
  </si>
  <si>
    <t>97339736777</t>
  </si>
  <si>
    <t>ilareema@batelco.com.bh</t>
  </si>
  <si>
    <t>423, Kingdom of Bahrain</t>
  </si>
  <si>
    <t>+97339736777</t>
  </si>
  <si>
    <t>ameer.ali@mesasautomation.com</t>
  </si>
  <si>
    <t>Prasanth M</t>
  </si>
  <si>
    <t>+973 66737414</t>
  </si>
  <si>
    <t>spd@mmetc.com</t>
  </si>
  <si>
    <t>Aymen Khella</t>
  </si>
  <si>
    <t>17340384</t>
  </si>
  <si>
    <t>info@metito.com</t>
  </si>
  <si>
    <t>Ayman kamel</t>
  </si>
  <si>
    <t>33059511</t>
  </si>
  <si>
    <t>ayman.kamel@metito.com</t>
  </si>
  <si>
    <t>Attash tiji</t>
  </si>
  <si>
    <t>36932644</t>
  </si>
  <si>
    <t>sales@midalcable.com</t>
  </si>
  <si>
    <t>P. Saravanan</t>
  </si>
  <si>
    <t>39973351</t>
  </si>
  <si>
    <t>p.saravanan@airliquid.com</t>
  </si>
  <si>
    <t>Hamid Al Mahal</t>
  </si>
  <si>
    <t>hameedaam@works.gov.bh</t>
  </si>
  <si>
    <t>Omar AbdulAziz Ramadan</t>
  </si>
  <si>
    <t>omarar@works.gov.bh</t>
  </si>
  <si>
    <t>Salah Hassan AL Mutawa</t>
  </si>
  <si>
    <t>17875530</t>
  </si>
  <si>
    <t>salahm@works.gov.bh</t>
  </si>
  <si>
    <t>Sidiqa Al Jazeeri</t>
  </si>
  <si>
    <t>sidiqaaa@works.gov.bh</t>
  </si>
  <si>
    <t>Sultan Lionel</t>
  </si>
  <si>
    <t>sult@works.gov.bh</t>
  </si>
  <si>
    <t>Prasanth Prasanth</t>
  </si>
  <si>
    <t>66737414</t>
  </si>
  <si>
    <t>mmetcspd1@mmetc.com</t>
  </si>
  <si>
    <t>Mameer 635, Kingdom of Bahrain</t>
  </si>
  <si>
    <t>Thomas Panicker</t>
  </si>
  <si>
    <t>13666665</t>
  </si>
  <si>
    <t>info@makharafi.net</t>
  </si>
  <si>
    <t>EBTIHAL HUSSAIN</t>
  </si>
  <si>
    <t>17 252606</t>
  </si>
  <si>
    <t>ebtihal_hussain@jalal.com</t>
  </si>
  <si>
    <t>Sayed Kamalalddin Ali</t>
  </si>
  <si>
    <t>33093131</t>
  </si>
  <si>
    <t>kamalalddin_a@jalal.com</t>
  </si>
  <si>
    <t>T A Thomas</t>
  </si>
  <si>
    <t>39575481</t>
  </si>
  <si>
    <t>thomas_ta@jalal.com</t>
  </si>
  <si>
    <t>Ali Kadavalam</t>
  </si>
  <si>
    <t>39284580</t>
  </si>
  <si>
    <t>kali@mdlz.com</t>
  </si>
  <si>
    <t>Lester ferrao</t>
  </si>
  <si>
    <t>39133465</t>
  </si>
  <si>
    <t>lferrao@mdlz.com</t>
  </si>
  <si>
    <t>Sudhir Bhatia</t>
  </si>
  <si>
    <t>36589226</t>
  </si>
  <si>
    <t>sbhatia@mdlz.com</t>
  </si>
  <si>
    <t>Tuqa Al Shehabi</t>
  </si>
  <si>
    <t>33252312</t>
  </si>
  <si>
    <t>tuqa.alshehabi@mdlz.com</t>
  </si>
  <si>
    <t>Chumakov Ihor</t>
  </si>
  <si>
    <t>ichumakov@mdlz.com</t>
  </si>
  <si>
    <t>Jouhar Anwar</t>
  </si>
  <si>
    <t>39649932</t>
  </si>
  <si>
    <t>jouhar.anwar@mdlz.com</t>
  </si>
  <si>
    <t>Tahir Hameed</t>
  </si>
  <si>
    <t>17280049</t>
  </si>
  <si>
    <t>morrellsbusinessservices57@hotmail.com</t>
  </si>
  <si>
    <t>Ashfaque Tippu</t>
  </si>
  <si>
    <t>37770369</t>
  </si>
  <si>
    <t>muhammad.tipu@mottmac.com</t>
  </si>
  <si>
    <t>Mahmood shousha</t>
  </si>
  <si>
    <t>32224962</t>
  </si>
  <si>
    <t>mahmood.shousha@mottmac.com</t>
  </si>
  <si>
    <t>Mohammed Arshad</t>
  </si>
  <si>
    <t>38882395</t>
  </si>
  <si>
    <t>mohammed.arshad@mottmac.co.ae</t>
  </si>
  <si>
    <t>Nasir A. Shaikh</t>
  </si>
  <si>
    <t>36222347</t>
  </si>
  <si>
    <t>nasir.shaikhmohammed@mottmac.com</t>
  </si>
  <si>
    <t>HASSAN HAJEH</t>
  </si>
  <si>
    <t>39414800</t>
  </si>
  <si>
    <t>h.hajeh@muellermiddleeast.com</t>
  </si>
  <si>
    <t>Selva Brabhu Kulanthai</t>
  </si>
  <si>
    <t>34520994</t>
  </si>
  <si>
    <t>s.kulanthai@muellerme.com</t>
  </si>
  <si>
    <t>Adil puliyali</t>
  </si>
  <si>
    <t>66300213</t>
  </si>
  <si>
    <t>adil.puliyali@mwwsco.com</t>
  </si>
  <si>
    <t>Kingdom of Bahrain, Kingdom of Bahrain</t>
  </si>
  <si>
    <t>Angus Macphee</t>
  </si>
  <si>
    <t>+97317560516</t>
  </si>
  <si>
    <t>angus.macphee@mwwsco.com</t>
  </si>
  <si>
    <t>Colin Seviour</t>
  </si>
  <si>
    <t>17560540</t>
  </si>
  <si>
    <t>colin.seviour@mwwsco.com</t>
  </si>
  <si>
    <t>IT Services</t>
  </si>
  <si>
    <t>it.services@mwwsco.com</t>
  </si>
  <si>
    <t>Mohammed Nasir</t>
  </si>
  <si>
    <t>+97336881509</t>
  </si>
  <si>
    <t>mohammed.nasir@mwwsco.com</t>
  </si>
  <si>
    <t>Richmond Clarino</t>
  </si>
  <si>
    <t>+973 6695 5526</t>
  </si>
  <si>
    <t>richmond.clarino@mwwsco.com</t>
  </si>
  <si>
    <t>David Hilton</t>
  </si>
  <si>
    <t>39184343</t>
  </si>
  <si>
    <t>david.hilton@mwhglobal.com</t>
  </si>
  <si>
    <t>Mark catchpole</t>
  </si>
  <si>
    <t>39163768</t>
  </si>
  <si>
    <t>mark.a.catchpole@mwhglobal.com</t>
  </si>
  <si>
    <t>Viswanathan Paramanathan</t>
  </si>
  <si>
    <t>39020372</t>
  </si>
  <si>
    <t>viswanathan.paramanathan@mwhglobal.com</t>
  </si>
  <si>
    <t>Prasath Tamilselvan</t>
  </si>
  <si>
    <t>(0)-39495444</t>
  </si>
  <si>
    <t>prasath@nantechgroup.com</t>
  </si>
  <si>
    <t>Joe Mrad</t>
  </si>
  <si>
    <t>32001198</t>
  </si>
  <si>
    <t>joe.mrad@nasscontracting.com</t>
  </si>
  <si>
    <t>Maameer, Kingdom of Bahrain</t>
  </si>
  <si>
    <t>Wilfred Fernandes</t>
  </si>
  <si>
    <t>1770 8333</t>
  </si>
  <si>
    <t>nassbah@batelco.com.bh</t>
  </si>
  <si>
    <t>Johann Schreuder</t>
  </si>
  <si>
    <t>66727840</t>
  </si>
  <si>
    <t>johan@nasslandscapes.com</t>
  </si>
  <si>
    <t>Mohammad Karasneh</t>
  </si>
  <si>
    <t>1746 5477</t>
  </si>
  <si>
    <t>nassmech@batelco.com.bh</t>
  </si>
  <si>
    <t>Anil Nair</t>
  </si>
  <si>
    <t>+973 - 17786665</t>
  </si>
  <si>
    <t>info@nccbahrain.com</t>
  </si>
  <si>
    <t>+973 39112134</t>
  </si>
  <si>
    <t>ali@newwaytrading.net</t>
  </si>
  <si>
    <t>Andrew Soans</t>
  </si>
  <si>
    <t>(0)36345902</t>
  </si>
  <si>
    <t>andrew@newtechgcc.com</t>
  </si>
  <si>
    <t>Zinj, Kingdom of Bahrain</t>
  </si>
  <si>
    <t>Elango N</t>
  </si>
  <si>
    <t>973 17714481</t>
  </si>
  <si>
    <t>elango@newtechgroup.net</t>
  </si>
  <si>
    <t>Periyasamy Neelakandan</t>
  </si>
  <si>
    <t>34128132</t>
  </si>
  <si>
    <t>ps@newtechgcc.com</t>
  </si>
  <si>
    <t>Vinoth Kanna</t>
  </si>
  <si>
    <t>(0)39638186</t>
  </si>
  <si>
    <t>vinoth@newtechgcc.com</t>
  </si>
  <si>
    <t>Vivek Raghunathan</t>
  </si>
  <si>
    <t>34362648</t>
  </si>
  <si>
    <t>vivek@newtechgcc.com</t>
  </si>
  <si>
    <t>Hisham Bin Mohamed Al Khalifa</t>
  </si>
  <si>
    <t>17312644</t>
  </si>
  <si>
    <t>info@noga.gov.bh</t>
  </si>
  <si>
    <t>Abdulla Hassan</t>
  </si>
  <si>
    <t>37111099</t>
  </si>
  <si>
    <t>a.hassan@nomac.com</t>
  </si>
  <si>
    <t>Nithiyanandan Parthasarathy</t>
  </si>
  <si>
    <t>37111082</t>
  </si>
  <si>
    <t>nithiyanandan.p@nomac.com</t>
  </si>
  <si>
    <t>ABBAS REDHA MUSAYAB MOAMEN</t>
  </si>
  <si>
    <t>00973-39992329</t>
  </si>
  <si>
    <t>oximox@gmail.com</t>
  </si>
  <si>
    <t>36771513</t>
  </si>
  <si>
    <t>Seef 428,Manama, Kingdom of Bahrain</t>
  </si>
  <si>
    <t>36418072</t>
  </si>
  <si>
    <t>17587654</t>
  </si>
  <si>
    <t>Sundar Velmuniram</t>
  </si>
  <si>
    <t>97338260157</t>
  </si>
  <si>
    <t>Hubertus schrage</t>
  </si>
  <si>
    <t>39107091</t>
  </si>
  <si>
    <t>hubertus.schrage@p2mberlin.de</t>
  </si>
  <si>
    <t>Hussain Fardan</t>
  </si>
  <si>
    <t>33886885</t>
  </si>
  <si>
    <t>hussain.fardan@p2mberlin.de</t>
  </si>
  <si>
    <t>Isa Town, Kingdom of Bahrain</t>
  </si>
  <si>
    <t>NAJAM AZAM</t>
  </si>
  <si>
    <t>3922 2855</t>
  </si>
  <si>
    <t>najam@palaceelectronics.com</t>
  </si>
  <si>
    <t>Sushant Suvarna</t>
  </si>
  <si>
    <t>34311713.</t>
  </si>
  <si>
    <t>sushant.suvarna@panarabco.net</t>
  </si>
  <si>
    <t>Mitesh lad</t>
  </si>
  <si>
    <t>34380561</t>
  </si>
  <si>
    <t>miteshlad57@gmail.com</t>
  </si>
  <si>
    <t>Juffair, Kingdom of Bahrain</t>
  </si>
  <si>
    <t>PETER JOSEPH P</t>
  </si>
  <si>
    <t>33683732</t>
  </si>
  <si>
    <t>peter@panoramabh.com</t>
  </si>
  <si>
    <t>Sanjay Sudhakhar</t>
  </si>
  <si>
    <t>33629929</t>
  </si>
  <si>
    <t>sanjay@panoramabh.com</t>
  </si>
  <si>
    <t>STARLY ABRAHAM</t>
  </si>
  <si>
    <t>39296459</t>
  </si>
  <si>
    <t>starlyabraham@gmail.com</t>
  </si>
  <si>
    <t>WINSENT THOMAS</t>
  </si>
  <si>
    <t>39894859</t>
  </si>
  <si>
    <t>pearlindia2009@yahoo.com</t>
  </si>
  <si>
    <t>Abdul Rehman Khan</t>
  </si>
  <si>
    <t>00973 3877 7366</t>
  </si>
  <si>
    <t>rehmankhan@ptscobh.com</t>
  </si>
  <si>
    <t>Anu Saju</t>
  </si>
  <si>
    <t>17229032</t>
  </si>
  <si>
    <t>accounts@ptesensor.com</t>
  </si>
  <si>
    <t>Tubli Industrial Park, Kingdom of Bahrain</t>
  </si>
  <si>
    <t>Shahanad yousuf</t>
  </si>
  <si>
    <t>sales101@ptesensor.com</t>
  </si>
  <si>
    <t>Sultan Salah ul din</t>
  </si>
  <si>
    <t>sales202@ptesensor.com</t>
  </si>
  <si>
    <t>VINOD KUMAR</t>
  </si>
  <si>
    <t>33625491</t>
  </si>
  <si>
    <t>production@ptesensor.com</t>
  </si>
  <si>
    <t>Jayakrishnan K P</t>
  </si>
  <si>
    <t>39479411</t>
  </si>
  <si>
    <t>info@plafixx.com</t>
  </si>
  <si>
    <t>Raszuwayed, Kingdom of Bahrain</t>
  </si>
  <si>
    <t>Nishad K T</t>
  </si>
  <si>
    <t>33967105</t>
  </si>
  <si>
    <t>nishad_kt@praxair.com</t>
  </si>
  <si>
    <t>Raju G</t>
  </si>
  <si>
    <t>36731910</t>
  </si>
  <si>
    <t>info@praxair.com</t>
  </si>
  <si>
    <t>Orlando Ferreira</t>
  </si>
  <si>
    <t>protech1bh@gmail.com</t>
  </si>
  <si>
    <t>Salihiya, Kingdom of Bahrain</t>
  </si>
  <si>
    <t>Prakash Raman</t>
  </si>
  <si>
    <t>+973-39417957</t>
  </si>
  <si>
    <t>info@prudentsolutions.net</t>
  </si>
  <si>
    <t>GEORGE KOSHY</t>
  </si>
  <si>
    <t>3949-2627</t>
  </si>
  <si>
    <t>sales@raasservices.com</t>
  </si>
  <si>
    <t>Al Kharijiyah, Sitra Highway, Kingdom of Bahrain</t>
  </si>
  <si>
    <t>Saji Joseph</t>
  </si>
  <si>
    <t>39951959</t>
  </si>
  <si>
    <t>saji@ramsis.com.bh</t>
  </si>
  <si>
    <t>Ratandeep Gawas</t>
  </si>
  <si>
    <t>17468568</t>
  </si>
  <si>
    <t>ratandeep.gawas@rb.com</t>
  </si>
  <si>
    <t>al hidd, Kingdom of Bahrain</t>
  </si>
  <si>
    <t>Pratik Kulkarni</t>
  </si>
  <si>
    <t>+973-35434177</t>
  </si>
  <si>
    <t>pratik.k@rcswll.com</t>
  </si>
  <si>
    <t>Abdulla Alaali</t>
  </si>
  <si>
    <t>alimm.abdulla@ewa.bh</t>
  </si>
  <si>
    <t>koshy Jacob</t>
  </si>
  <si>
    <t>(0)39+966023</t>
  </si>
  <si>
    <t>sales@sarayaco.com</t>
  </si>
  <si>
    <t>Asim Mujahid</t>
  </si>
  <si>
    <t>(0)17293921</t>
  </si>
  <si>
    <t>saudik7@gmail.com</t>
  </si>
  <si>
    <t>Zahra Abu Al-Qassim</t>
  </si>
  <si>
    <t>32320999</t>
  </si>
  <si>
    <t>zahra.abualqasim@teekay.com</t>
  </si>
  <si>
    <t>AL DUR, Kingdom of Bahrain</t>
  </si>
  <si>
    <t>Luo Zhongren</t>
  </si>
  <si>
    <t>luozhongren@sepco3.com</t>
  </si>
  <si>
    <t>Zhai YongDong</t>
  </si>
  <si>
    <t>zhaiyongdong@sepco3.com</t>
  </si>
  <si>
    <t>A.R YASMIN</t>
  </si>
  <si>
    <t>+973 3386 4965 +91 97477 11919</t>
  </si>
  <si>
    <t>aryasmin@shayaangroup.com</t>
  </si>
  <si>
    <t>YASMIN ABDUL RASHEED</t>
  </si>
  <si>
    <t>00973 3880 8177</t>
  </si>
  <si>
    <t>sales@shayaangroup.com</t>
  </si>
  <si>
    <t>DEEPU PRASANTH</t>
  </si>
  <si>
    <t>0565066423</t>
  </si>
  <si>
    <t>deepu.prasanth@shapoorji.com</t>
  </si>
  <si>
    <t>Hpr Al Anz, dubai, Kingdom of Bahrain</t>
  </si>
  <si>
    <t>Ahmed Ahmed</t>
  </si>
  <si>
    <t>1759 0356</t>
  </si>
  <si>
    <t>info@sifcme.com</t>
  </si>
  <si>
    <t>Dawood Rattu</t>
  </si>
  <si>
    <t>+966-506061255</t>
  </si>
  <si>
    <t>dawood@sigmapowerzone.com</t>
  </si>
  <si>
    <t>Aswin Stephen</t>
  </si>
  <si>
    <t>17293514</t>
  </si>
  <si>
    <t>info@sillagroup.com</t>
  </si>
  <si>
    <t>Shamsu Erakkath</t>
  </si>
  <si>
    <t>33941931</t>
  </si>
  <si>
    <t>info@filsgroups.com</t>
  </si>
  <si>
    <t>EMAD MOURIS</t>
  </si>
  <si>
    <t>36825257</t>
  </si>
  <si>
    <t>admin.bh@smartwatertt.com</t>
  </si>
  <si>
    <t>Muhharaq, Kingdom of Bahrain</t>
  </si>
  <si>
    <t>Ahmed Abde ElMenem</t>
  </si>
  <si>
    <t>17330267</t>
  </si>
  <si>
    <t>ahmed.abdelmenem@smartwatertt.com</t>
  </si>
  <si>
    <t>Justin Thankachen</t>
  </si>
  <si>
    <t>3331 0340</t>
  </si>
  <si>
    <t>justin.thankachen@sms-group.com</t>
  </si>
  <si>
    <t>Roberto Cruz</t>
  </si>
  <si>
    <t>34078863</t>
  </si>
  <si>
    <t>roberto.cruz@veolia.com</t>
  </si>
  <si>
    <t>Mamama, Kingdom of Bahrain</t>
  </si>
  <si>
    <t>Steven Garnier</t>
  </si>
  <si>
    <t>33611135</t>
  </si>
  <si>
    <t>steven.garnier@veolia.com</t>
  </si>
  <si>
    <t>Ziad BOUARS</t>
  </si>
  <si>
    <t>33663373</t>
  </si>
  <si>
    <t>ziad.bouars@veolia.com</t>
  </si>
  <si>
    <t>Sulekha Shoukath</t>
  </si>
  <si>
    <t>(0)77098460</t>
  </si>
  <si>
    <t>sulekha@sseflowcontrols.com</t>
  </si>
  <si>
    <t>Didier Gentil</t>
  </si>
  <si>
    <t>39819 990</t>
  </si>
  <si>
    <t>didier.gentil@sshic.com</t>
  </si>
  <si>
    <t>owais Yaqoob</t>
  </si>
  <si>
    <t>0097336526145</t>
  </si>
  <si>
    <t>stanlabservices@gmail.com</t>
  </si>
  <si>
    <t>Dusko Nikolic</t>
  </si>
  <si>
    <t>771 8613</t>
  </si>
  <si>
    <t>dusko.nikolic@stantec.com</t>
  </si>
  <si>
    <t>Abhijeet Khanolkar</t>
  </si>
  <si>
    <t>34329128</t>
  </si>
  <si>
    <t>abhijeetk@slub.com.bh</t>
  </si>
  <si>
    <t>Bibin Abraham</t>
  </si>
  <si>
    <t>babraham@sulb.com.bh</t>
  </si>
  <si>
    <t>Jose Thomas</t>
  </si>
  <si>
    <t>jose@sulb.com.bh</t>
  </si>
  <si>
    <t>K. Suresh babu</t>
  </si>
  <si>
    <t>17464209</t>
  </si>
  <si>
    <t>suresh@sulb.com.bh</t>
  </si>
  <si>
    <t>Victor Mira</t>
  </si>
  <si>
    <t>victor@sulb.com.bh</t>
  </si>
  <si>
    <t>Salah Ahmed</t>
  </si>
  <si>
    <t>38800913</t>
  </si>
  <si>
    <t>sales@suntechsbahrain.com</t>
  </si>
  <si>
    <t>Narayan Singh Sengar</t>
  </si>
  <si>
    <t>17225751</t>
  </si>
  <si>
    <t>syscon@batelco.com.bh</t>
  </si>
  <si>
    <t>Mohamed Mahdi Elias Abbas</t>
  </si>
  <si>
    <t>17510122</t>
  </si>
  <si>
    <t>mabbas@tabreedbahrain.com</t>
  </si>
  <si>
    <t>diplomatic area, Kingdom of Bahrain</t>
  </si>
  <si>
    <t>Shiyad Raroth Thazhe</t>
  </si>
  <si>
    <t>34313799</t>
  </si>
  <si>
    <t>sraroth@tabreedbahrain.com</t>
  </si>
  <si>
    <t>Sandeep K.S</t>
  </si>
  <si>
    <t>39091294</t>
  </si>
  <si>
    <t>tangiagroup@gmail.com</t>
  </si>
  <si>
    <t>Abdul rehman</t>
  </si>
  <si>
    <t>34006098</t>
  </si>
  <si>
    <t>abdul.younus@tebodin.com</t>
  </si>
  <si>
    <t>nuweidarath, Kingdom of Bahrain</t>
  </si>
  <si>
    <t>Charan Gummalla</t>
  </si>
  <si>
    <t>(0) 34 57 61 51</t>
  </si>
  <si>
    <t>cgummalla@tebodinme.com</t>
  </si>
  <si>
    <t>Mohammed Ghulam Rabbani</t>
  </si>
  <si>
    <t>(0) 34 33 52 60</t>
  </si>
  <si>
    <t>mgrabbani@tebodinme.com</t>
  </si>
  <si>
    <t>EDREN P. GENECIRAN</t>
  </si>
  <si>
    <t>3559 7490/3336 6059</t>
  </si>
  <si>
    <t>edren@technocheminfo.com</t>
  </si>
  <si>
    <t>Paulo S. Andrino</t>
  </si>
  <si>
    <t>34155001</t>
  </si>
  <si>
    <t>paulo.andrino@technocheminfo.com</t>
  </si>
  <si>
    <t>Tubli, Kingdom of Bahrain</t>
  </si>
  <si>
    <t>Aibin Sebastian</t>
  </si>
  <si>
    <t>32290640</t>
  </si>
  <si>
    <t>aibin@technoline.me</t>
  </si>
  <si>
    <t>Dinesh Kumar</t>
  </si>
  <si>
    <t>39281900</t>
  </si>
  <si>
    <t>dinesh@technoline.me</t>
  </si>
  <si>
    <t>Maneesha MK</t>
  </si>
  <si>
    <t>38220263</t>
  </si>
  <si>
    <t>maneesha@technoline.me</t>
  </si>
  <si>
    <t>Azhar Bilal</t>
  </si>
  <si>
    <t>32211271</t>
  </si>
  <si>
    <t>azhar@tectonme.com</t>
  </si>
  <si>
    <t>Sarath Kumar</t>
  </si>
  <si>
    <t>66747067</t>
  </si>
  <si>
    <t>sarath@sunday-group.net</t>
  </si>
  <si>
    <t>Salmabad Industrial Area, Kingdom of Bahrain</t>
  </si>
  <si>
    <t>Shibu C. George</t>
  </si>
  <si>
    <t>39689639</t>
  </si>
  <si>
    <t>textech@batelco.com.bh</t>
  </si>
  <si>
    <t>SURABHITH P.K</t>
  </si>
  <si>
    <t>39991207</t>
  </si>
  <si>
    <t>surabhith@sunday-group.net</t>
  </si>
  <si>
    <t>Haq Nawaz</t>
  </si>
  <si>
    <t>38881052</t>
  </si>
  <si>
    <t>haqnawaz@ortabahrain.com</t>
  </si>
  <si>
    <t>Sitraa, Kingdom of Bahrain</t>
  </si>
  <si>
    <t>Abdul Jalil Abdulla</t>
  </si>
  <si>
    <t>17752563</t>
  </si>
  <si>
    <t>701016@bapco.net</t>
  </si>
  <si>
    <t>Abdulla Mohmood Abdulla</t>
  </si>
  <si>
    <t>17704040</t>
  </si>
  <si>
    <t>844465@bapco.net</t>
  </si>
  <si>
    <t>Adbulla Hasan Yaqoob</t>
  </si>
  <si>
    <t>103400@bapco.net</t>
  </si>
  <si>
    <t>Alden Dias</t>
  </si>
  <si>
    <t>alden_dias@bapco.net</t>
  </si>
  <si>
    <t>Alex V. Limjoco</t>
  </si>
  <si>
    <t>17755229</t>
  </si>
  <si>
    <t>alex_v_limjoco@bapco.net</t>
  </si>
  <si>
    <t>Ameera Abdulla</t>
  </si>
  <si>
    <t>(0)17755587</t>
  </si>
  <si>
    <t>ameera_abdulla@bapco.net</t>
  </si>
  <si>
    <t>Athar S. Quazi</t>
  </si>
  <si>
    <t>+973 3602 7713</t>
  </si>
  <si>
    <t>athar_s_quazi@bapco.net</t>
  </si>
  <si>
    <t>B.G Moorthy</t>
  </si>
  <si>
    <t>17755878</t>
  </si>
  <si>
    <t>b_g_moorthy@bapco.net</t>
  </si>
  <si>
    <t>Balaji chalamagunda</t>
  </si>
  <si>
    <t>1775 5926</t>
  </si>
  <si>
    <t>balaji_chalamagunda@bapco.net</t>
  </si>
  <si>
    <t>Bharadwaj Prabhala</t>
  </si>
  <si>
    <t>36027028</t>
  </si>
  <si>
    <t>b_prabhala@bapco.net</t>
  </si>
  <si>
    <t>BIJIRAJ BALAN</t>
  </si>
  <si>
    <t>39 60 07 25</t>
  </si>
  <si>
    <t>bijiraj@zohalconstruction.com</t>
  </si>
  <si>
    <t>D.A sashikala</t>
  </si>
  <si>
    <t>36027096</t>
  </si>
  <si>
    <t>sashikala@bapco.net</t>
  </si>
  <si>
    <t>Ebrahim Shafiee</t>
  </si>
  <si>
    <t>39447976</t>
  </si>
  <si>
    <t>ebrahim_shafiee@bapco.net</t>
  </si>
  <si>
    <t>Ebtehaj Abdulla</t>
  </si>
  <si>
    <t>36027245</t>
  </si>
  <si>
    <t>ebtehaj_abdulla@bapco.net</t>
  </si>
  <si>
    <t>Fatima Al-Bastaki</t>
  </si>
  <si>
    <t>973 1775 2501</t>
  </si>
  <si>
    <t>fatima_bastaki@bapco.net</t>
  </si>
  <si>
    <t>Ganesh Gopalakrishnan</t>
  </si>
  <si>
    <t>17755879</t>
  </si>
  <si>
    <t>ganesh_gopalakrishnan@bapco.net</t>
  </si>
  <si>
    <t>Habib Ramadhan</t>
  </si>
  <si>
    <t>+973 3602 7032</t>
  </si>
  <si>
    <t>habib_ramadhan@bapco.net</t>
  </si>
  <si>
    <t>Harpreet Matta</t>
  </si>
  <si>
    <t>17755912</t>
  </si>
  <si>
    <t>harpreet_matta@bapco.net</t>
  </si>
  <si>
    <t>Jacob Kuriakose</t>
  </si>
  <si>
    <t>39286835</t>
  </si>
  <si>
    <t>jacob_kuriakose@bapco.net</t>
  </si>
  <si>
    <t>Jaffer Ali Ali</t>
  </si>
  <si>
    <t>17757166</t>
  </si>
  <si>
    <t>846482@bapco.net</t>
  </si>
  <si>
    <t>Jitendrakumar Indubhai Patel</t>
  </si>
  <si>
    <t>17755637</t>
  </si>
  <si>
    <t>989446@bapco.net</t>
  </si>
  <si>
    <t>Mahmood Ghuloom</t>
  </si>
  <si>
    <t>36027313</t>
  </si>
  <si>
    <t>mahmood_ghuloom@bapco.net</t>
  </si>
  <si>
    <t>Mariela Leon</t>
  </si>
  <si>
    <t>+973 34137576</t>
  </si>
  <si>
    <t>mariela_leon@bapco.net</t>
  </si>
  <si>
    <t>Omran Mohammed</t>
  </si>
  <si>
    <t>36027039</t>
  </si>
  <si>
    <t>omran@bapco.net</t>
  </si>
  <si>
    <t>Pawan Parashar</t>
  </si>
  <si>
    <t>p-k-parashar@bapco.net</t>
  </si>
  <si>
    <t>Poraman Balasubramanian</t>
  </si>
  <si>
    <t>987247@bapco.net</t>
  </si>
  <si>
    <t>R Srinivasan</t>
  </si>
  <si>
    <t>17755575</t>
  </si>
  <si>
    <t>srinivasan_r@bapco.net</t>
  </si>
  <si>
    <t>Radhi Ali Abdulla Ali</t>
  </si>
  <si>
    <t>847168@bapco.net</t>
  </si>
  <si>
    <t>Rao K.K.S.</t>
  </si>
  <si>
    <t>17755431</t>
  </si>
  <si>
    <t>rao_k_k_s@bapco.net</t>
  </si>
  <si>
    <t>Rex Edward Tablang</t>
  </si>
  <si>
    <t>17752502</t>
  </si>
  <si>
    <t>rex_tablang@bapco.net</t>
  </si>
  <si>
    <t>Ritesh Raveendran</t>
  </si>
  <si>
    <t>ritesh.raveendran@bapcoenergies.com</t>
  </si>
  <si>
    <t>Robert Robert</t>
  </si>
  <si>
    <t>info@bapco.net</t>
  </si>
  <si>
    <t>Sabapathi Kugan</t>
  </si>
  <si>
    <t>17755784</t>
  </si>
  <si>
    <t>kugan@bapco.net</t>
  </si>
  <si>
    <t>SALAH EBRAHIM</t>
  </si>
  <si>
    <t>836570@bapco.net</t>
  </si>
  <si>
    <t>Sathish Kumar</t>
  </si>
  <si>
    <t>sathish_kumar@bapco.net</t>
  </si>
  <si>
    <t>Sayed Ebrahim</t>
  </si>
  <si>
    <t>101143@bapco.net</t>
  </si>
  <si>
    <t>Surendra shah</t>
  </si>
  <si>
    <t>36027318</t>
  </si>
  <si>
    <t>surendra.shah@bapcoenergies.com</t>
  </si>
  <si>
    <t>Uday SK Khairatkar</t>
  </si>
  <si>
    <t>udaykh@bapco.net</t>
  </si>
  <si>
    <t>V Parameswaran</t>
  </si>
  <si>
    <t>17755874</t>
  </si>
  <si>
    <t>v_parameshwaran@bapco.net</t>
  </si>
  <si>
    <t>V. Parameshwaran</t>
  </si>
  <si>
    <t>v_parameswaran@bapco.net</t>
  </si>
  <si>
    <t>Veeramani m</t>
  </si>
  <si>
    <t>990004@bapco.net</t>
  </si>
  <si>
    <t>Veeramani Murugaiyan</t>
  </si>
  <si>
    <t>+973 3602 7033</t>
  </si>
  <si>
    <t>veeramani_murugaiyan@bapco.net</t>
  </si>
  <si>
    <t>Vinod Menon</t>
  </si>
  <si>
    <t>17757019</t>
  </si>
  <si>
    <t>985773@bapco.net</t>
  </si>
  <si>
    <t>Wafa Al Rowaie</t>
  </si>
  <si>
    <t>17755712</t>
  </si>
  <si>
    <t>wafa_alrowaie@bapco.net</t>
  </si>
  <si>
    <t>Wahid Inamdar</t>
  </si>
  <si>
    <t>wahid0506@yahoo.com</t>
  </si>
  <si>
    <t>Hussain Al. Hubaishi</t>
  </si>
  <si>
    <t>39131388</t>
  </si>
  <si>
    <t>hhubaishi@coca-cola.com.bh</t>
  </si>
  <si>
    <t>Al-Ali, Kingdom of Bahrain</t>
  </si>
  <si>
    <t>Rajesh Modi</t>
  </si>
  <si>
    <t>39987595</t>
  </si>
  <si>
    <t>rajeshmodi@coca-cola.com.bh</t>
  </si>
  <si>
    <t>Ratnadeep Gawas</t>
  </si>
  <si>
    <t>39321553</t>
  </si>
  <si>
    <t>ratnadeep@coca-cola.com.bh</t>
  </si>
  <si>
    <t>Zamir Shaik</t>
  </si>
  <si>
    <t>17784141</t>
  </si>
  <si>
    <t>zamir.s@coca-cola.com.bh</t>
  </si>
  <si>
    <t>DHIRESH BHATIA</t>
  </si>
  <si>
    <t>39695040</t>
  </si>
  <si>
    <t>bhatiak@thefutureshopcompany.com</t>
  </si>
  <si>
    <t>Kant Bhatia</t>
  </si>
  <si>
    <t>bhatiak@batelco.com.bh</t>
  </si>
  <si>
    <t>Abdul Muneer Abubaker</t>
  </si>
  <si>
    <t>38888675</t>
  </si>
  <si>
    <t>abdul.muneer@tradearabia.net</t>
  </si>
  <si>
    <t>Sakkir Hussain</t>
  </si>
  <si>
    <t>+973 3318 1239</t>
  </si>
  <si>
    <t>sak@theianew.com</t>
  </si>
  <si>
    <t>Kharijiya, Kingdom of Bahrain</t>
  </si>
  <si>
    <t>Roshin Chacko Mathew</t>
  </si>
  <si>
    <t>34018436</t>
  </si>
  <si>
    <t>service@3lionsgroup.com</t>
  </si>
  <si>
    <t>T S DINIL</t>
  </si>
  <si>
    <t>34488795</t>
  </si>
  <si>
    <t>procurement@topserveintl.com</t>
  </si>
  <si>
    <t>Kingdom Of Bahrain, Kingdom of Bahrain</t>
  </si>
  <si>
    <t>Edilbert Pascal</t>
  </si>
  <si>
    <t>0097-35124415</t>
  </si>
  <si>
    <t>transglobalcowll@gmail.com</t>
  </si>
  <si>
    <t>Ajay Kumar Gatlagollahalli</t>
  </si>
  <si>
    <t>+973 33635205</t>
  </si>
  <si>
    <t>ajaykumar.gatlagollahalli@ttsjv.com</t>
  </si>
  <si>
    <t>Office 22, Building 1130M, Road 1531, Block 215, Muharraq, Kingdom of Bahrain</t>
  </si>
  <si>
    <t>Carlos Bayron</t>
  </si>
  <si>
    <t>33603245</t>
  </si>
  <si>
    <t>carlos.bayron@ttsjv.com</t>
  </si>
  <si>
    <t>Bilal</t>
  </si>
  <si>
    <t>36414614</t>
  </si>
  <si>
    <t>purchase@turkstrading.com</t>
  </si>
  <si>
    <t>Sahithyan Sahithyan</t>
  </si>
  <si>
    <t>36964053</t>
  </si>
  <si>
    <t>sharesutcl@adityabirla.com</t>
  </si>
  <si>
    <t>Jayamohan R</t>
  </si>
  <si>
    <t>jayamohan@uneeco.com</t>
  </si>
  <si>
    <t>A Sathakkathulla</t>
  </si>
  <si>
    <t>(0) 17 728596 EXT 221</t>
  </si>
  <si>
    <t>a.sathak@ucc.bh</t>
  </si>
  <si>
    <t>Sathakkathulla Abdul Hathi</t>
  </si>
  <si>
    <t>39406690</t>
  </si>
  <si>
    <t>a.sathak@ucc.com</t>
  </si>
  <si>
    <t>Yahya Shaheen</t>
  </si>
  <si>
    <t>+973 - 17359359</t>
  </si>
  <si>
    <t>usco@usco.com.bh</t>
  </si>
  <si>
    <t>Rajesh Coutinho</t>
  </si>
  <si>
    <t>17813318</t>
  </si>
  <si>
    <t>support@e-unitech.com</t>
  </si>
  <si>
    <t>Eldho P. Mathew</t>
  </si>
  <si>
    <t>17720117</t>
  </si>
  <si>
    <t>eldho@universallab.co</t>
  </si>
  <si>
    <t>Segaya, Kingdom of Bahrain</t>
  </si>
  <si>
    <t>V. K. Das</t>
  </si>
  <si>
    <t>39471033</t>
  </si>
  <si>
    <t>das@universallab.co</t>
  </si>
  <si>
    <t>Shameer Shameer</t>
  </si>
  <si>
    <t>33350262</t>
  </si>
  <si>
    <t>aalexander@bmmi.com.bh</t>
  </si>
  <si>
    <t>Arun Mohan</t>
  </si>
  <si>
    <t>36575722</t>
  </si>
  <si>
    <t>arun.mohan@veolia.com</t>
  </si>
  <si>
    <t>Building 178, Road 467, Manama, Al Asimah, Bahrain.</t>
  </si>
  <si>
    <t>Atul Purohit</t>
  </si>
  <si>
    <t>veg.fin@veolia.com</t>
  </si>
  <si>
    <t>Aydar Galyamov</t>
  </si>
  <si>
    <t>+97338874777</t>
  </si>
  <si>
    <t>aydar.galyamov@veolia.com</t>
  </si>
  <si>
    <t>Khatoun Habarah</t>
  </si>
  <si>
    <t>khatoun.habarah@sa.endress.com</t>
  </si>
  <si>
    <t>Mohammed Abdelmohsen Hafez</t>
  </si>
  <si>
    <t>mohammed.abdelmohsen@sa.endress.com</t>
  </si>
  <si>
    <t>Rene Formaran</t>
  </si>
  <si>
    <t>rene.formaran@endress.com</t>
  </si>
  <si>
    <t>36575746</t>
  </si>
  <si>
    <t>shanmugam.apparsamy@vevolia.com</t>
  </si>
  <si>
    <t>Piyusha Nair</t>
  </si>
  <si>
    <t>0097152 639 9612</t>
  </si>
  <si>
    <t>piyusha.nair@veolia.com</t>
  </si>
  <si>
    <t>Dattatreya Mukherjee</t>
  </si>
  <si>
    <t>66901642</t>
  </si>
  <si>
    <t>dattatreya@wabag.in</t>
  </si>
  <si>
    <t>Al Seef, Kingdom of Bahrain</t>
  </si>
  <si>
    <t>Gopinath Arumugam</t>
  </si>
  <si>
    <t>+973 36428166</t>
  </si>
  <si>
    <t>Gopinath.Arumugam@wb-jv.com</t>
  </si>
  <si>
    <t>k Balasubramaniyan</t>
  </si>
  <si>
    <t>77118187</t>
  </si>
  <si>
    <t>bala.subramaniyan@wb-jv.com</t>
  </si>
  <si>
    <t>K SRINIVASAN</t>
  </si>
  <si>
    <t>36750662</t>
  </si>
  <si>
    <t>k_srinivasan@wabag.in</t>
  </si>
  <si>
    <t>KANAGARAJ N</t>
  </si>
  <si>
    <t>37283279</t>
  </si>
  <si>
    <t>kanagaraj.nagarajan@wb-jv.com</t>
  </si>
  <si>
    <t>Selva Kumar R</t>
  </si>
  <si>
    <t>36602769</t>
  </si>
  <si>
    <t>r_selvakumar@wabag.in</t>
  </si>
  <si>
    <t>Ajith Kumar</t>
  </si>
  <si>
    <t>39760620</t>
  </si>
  <si>
    <t>ajith.kumar@watechmena.com</t>
  </si>
  <si>
    <t>Mohamed Riyaz.A.M</t>
  </si>
  <si>
    <t>37271273</t>
  </si>
  <si>
    <t>mohamed.riyaz@watechmena.com</t>
  </si>
  <si>
    <t>Senarath Senarath</t>
  </si>
  <si>
    <t>32167517</t>
  </si>
  <si>
    <t>info@wa-tech-mena.com</t>
  </si>
  <si>
    <t>Walid Abid</t>
  </si>
  <si>
    <t>(0)39912038</t>
  </si>
  <si>
    <t>walid.abid@wa-tech-mena.com</t>
  </si>
  <si>
    <t>Atif Nisar</t>
  </si>
  <si>
    <t>1783804</t>
  </si>
  <si>
    <t>atif.nisar@wphome.com</t>
  </si>
  <si>
    <t>Suad Abdullah</t>
  </si>
  <si>
    <t>1783801</t>
  </si>
  <si>
    <t>suad.abdullah@wphome.com</t>
  </si>
  <si>
    <t>hasan.mizal@worley.com</t>
  </si>
  <si>
    <t>sitra, Kingdom of Bahrain</t>
  </si>
  <si>
    <t>Al Qudaybiyah -Manama, Kingdom of Bahrain</t>
  </si>
  <si>
    <t>Kyriacos Christou</t>
  </si>
  <si>
    <t>32242191</t>
  </si>
  <si>
    <t>kyriacos.christou@worley.com</t>
  </si>
  <si>
    <t>Sahaady Shaik.K</t>
  </si>
  <si>
    <t>sahaady.shaik@worley.com</t>
  </si>
  <si>
    <t>Tobias Gellenbeck</t>
  </si>
  <si>
    <t>201 8968-544</t>
  </si>
  <si>
    <t>tobias.gellenbeck@wte.de</t>
  </si>
  <si>
    <t>Abdulla radhi</t>
  </si>
  <si>
    <t>39875449</t>
  </si>
  <si>
    <t>aradhai@yateemoxygen.com</t>
  </si>
  <si>
    <t>Arun K A</t>
  </si>
  <si>
    <t>39992023</t>
  </si>
  <si>
    <t>arun.ka@yokogawa.com</t>
  </si>
  <si>
    <t xml:space="preserve">P.O. Box 11578, Manama, Kingdom of Bahrain. </t>
  </si>
  <si>
    <t>Debashis Mishra</t>
  </si>
  <si>
    <t>(973) 39381045</t>
  </si>
  <si>
    <t>info@bh.yokogawa.com</t>
  </si>
  <si>
    <t>Gokulan Govindarajan</t>
  </si>
  <si>
    <t>34526700</t>
  </si>
  <si>
    <t>gokulan.govindarajan@yokogawa.com</t>
  </si>
  <si>
    <t>Govind Ashokrao Suryavanshi</t>
  </si>
  <si>
    <t>38089270</t>
  </si>
  <si>
    <t>govind.ashokrao@yokogawa.com</t>
  </si>
  <si>
    <t>Jassim M. Atteyah</t>
  </si>
  <si>
    <t>66719412</t>
  </si>
  <si>
    <t>jassim.atteyah@yokogawa.com</t>
  </si>
  <si>
    <t>Lalith Kumar Kalihari</t>
  </si>
  <si>
    <t>00 973 38359163</t>
  </si>
  <si>
    <t>lalit.kalihari@yokogawa.com</t>
  </si>
  <si>
    <t>lavan Kumar P</t>
  </si>
  <si>
    <t>2 201 8609</t>
  </si>
  <si>
    <t>lavan.kumar@yokogawa.com</t>
  </si>
  <si>
    <t>Manish Dhanuka</t>
  </si>
  <si>
    <t>39926978</t>
  </si>
  <si>
    <t>manish.dhanuka@yokogawa.com</t>
  </si>
  <si>
    <t>Mohammad Shafiq</t>
  </si>
  <si>
    <t>32014790</t>
  </si>
  <si>
    <t>mohammad.shafiq@yokogawa.com</t>
  </si>
  <si>
    <t>Muhammad Tayyab</t>
  </si>
  <si>
    <t>(973) 66 74 9715</t>
  </si>
  <si>
    <t>muhammad.tayyab@bh.yokogawa.com</t>
  </si>
  <si>
    <t>Sreelal T.P</t>
  </si>
  <si>
    <t>+9733316 8059</t>
  </si>
  <si>
    <t>sreelal.p@yokogawa.com</t>
  </si>
  <si>
    <t>Vimalnath V</t>
  </si>
  <si>
    <t>333 514 33</t>
  </si>
  <si>
    <t>vimalnath.v@yokogawa.com</t>
  </si>
  <si>
    <t>Waqqas Ahmad</t>
  </si>
  <si>
    <t>(973)  17 70 7660</t>
  </si>
  <si>
    <t>waqqas.ahmad@yokogawa.com</t>
  </si>
  <si>
    <t>J.C Manjunath</t>
  </si>
  <si>
    <t>manjunath.jc@kanoo.com</t>
  </si>
  <si>
    <t>Mohamed Aiyaz S.I</t>
  </si>
  <si>
    <t>38351279</t>
  </si>
  <si>
    <t>mohammed.aiyaz@kanoo.com</t>
  </si>
  <si>
    <t>sandeep Sandeep</t>
  </si>
  <si>
    <t>39928018</t>
  </si>
  <si>
    <t>sandeep@prolinetechs.com</t>
  </si>
  <si>
    <t>BIJIRAJ.K. BALAN</t>
  </si>
  <si>
    <t xml:space="preserve">PROCUREMENT - ENGIE </t>
  </si>
  <si>
    <t>Tendersgm.aeom@engie.com</t>
  </si>
  <si>
    <t>Gopinath</t>
  </si>
  <si>
    <t xml:space="preserve">+973 33033458 </t>
  </si>
  <si>
    <t>gopinath@airmech.net</t>
  </si>
  <si>
    <t>P.O. Box 20137, Manama, Kingdom of Bahrain</t>
  </si>
  <si>
    <t>Karthi Ramamurthy</t>
  </si>
  <si>
    <r>
      <t>+973 66752429</t>
    </r>
    <r>
      <rPr>
        <sz val="11"/>
        <color rgb="FF1F497D"/>
        <rFont val="Calibri"/>
        <family val="2"/>
        <scheme val="minor"/>
      </rPr>
      <t xml:space="preserve"> </t>
    </r>
  </si>
  <si>
    <t>karthi@nasselectrical.com</t>
  </si>
  <si>
    <t>P.O. Box 669, Manama, Kingdom of Bahrain</t>
  </si>
  <si>
    <t>Jain K Xavier</t>
  </si>
  <si>
    <t xml:space="preserve">jain.xavier2@ttsjv.com </t>
  </si>
  <si>
    <t>PO Box 28110 - Muharraq – Block. 215, Rd. 1531, Building 1130, Flat. 12 – Kingdom of Bahrain</t>
  </si>
  <si>
    <t>Fahad  M.Mushtaq</t>
  </si>
  <si>
    <t>973 - 39582219</t>
  </si>
  <si>
    <t>industrial@alfaris.biz &lt;industrial@alfaris.biz</t>
  </si>
  <si>
    <t>Kingdom of Bahrain.</t>
  </si>
  <si>
    <t>Husain Sayyar</t>
  </si>
  <si>
    <t>hs@almadartrading.com</t>
  </si>
  <si>
    <t>Thamaraikkannan</t>
  </si>
  <si>
    <t>info@aemcobahrain.com</t>
  </si>
  <si>
    <t>Avil</t>
  </si>
  <si>
    <t>973 36891313</t>
  </si>
  <si>
    <t>salesindustry3@syscon.bh</t>
  </si>
  <si>
    <t>Shanica Inson</t>
  </si>
  <si>
    <t>973 3841 1740</t>
  </si>
  <si>
    <t>info@voltcube.me</t>
  </si>
  <si>
    <t>Yusuf Habib Engineer</t>
  </si>
  <si>
    <t>(+973) 17788411</t>
  </si>
  <si>
    <t xml:space="preserve">YusufHE@works.gov.bh </t>
  </si>
  <si>
    <t>Tamil</t>
  </si>
  <si>
    <t xml:space="preserve"> +973 66766821</t>
  </si>
  <si>
    <t>info@omnibahrain.com</t>
  </si>
  <si>
    <t>Santhosh BK</t>
  </si>
  <si>
    <t>+97333502078</t>
  </si>
  <si>
    <t>ames1@ameswll.com</t>
  </si>
  <si>
    <t>Al Mufeed Electrical Services W.L.L, PO Box 32849, Manama, Kingdom of Bahrain</t>
  </si>
  <si>
    <t>MR.</t>
  </si>
  <si>
    <t>Santhosh</t>
  </si>
  <si>
    <t>+97336555770</t>
  </si>
  <si>
    <t>santhosh.k@abuobaidgroup.com</t>
  </si>
  <si>
    <t>Industrial Area, Ma’ameer, Road :3422, Block:634, BLDG:635,Kingdom of Bahrain</t>
  </si>
  <si>
    <t>Leebesh Balakrishnan</t>
  </si>
  <si>
    <t>leebesh@amps-bahrain.com</t>
  </si>
  <si>
    <t xml:space="preserve">Ravi shankar </t>
  </si>
  <si>
    <t>ravi@jahecon.com</t>
  </si>
  <si>
    <t>Flat 11, Building 253, Road 808,Block 308, Al Qudaybiyah, Bahrain</t>
  </si>
  <si>
    <t>NR98</t>
  </si>
  <si>
    <t>Abdul Rahman</t>
  </si>
  <si>
    <t>966598075354</t>
  </si>
  <si>
    <t>a.rahman@xenitt.com</t>
  </si>
  <si>
    <t>Flat/Shop No. 21, Building 6,Road/Street 355,Block 327, Bahrain</t>
  </si>
  <si>
    <t>:XENIT TECHNOLOGY SOLUTIONS W.L.L</t>
  </si>
  <si>
    <t>Total Price</t>
  </si>
  <si>
    <t>Total Frieght</t>
  </si>
  <si>
    <t>Electronics Micropilot FMR6x</t>
  </si>
  <si>
    <t>Model no.: XPF0038-1014/0</t>
  </si>
  <si>
    <t>(XPF0038-1)</t>
  </si>
  <si>
    <t>I/O mod.Level,2-wr.4-20mA,HART,Ex,LP,V3</t>
  </si>
  <si>
    <t>Model no.: 71364026</t>
  </si>
  <si>
    <t>Remote Display FHX50B</t>
  </si>
  <si>
    <t>Model no.: FHX50B-1P79/0</t>
  </si>
  <si>
    <t>(FHX50B-BGEB3+Z1)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</si>
</sst>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0.000"/>
    <numFmt numFmtId="166" formatCode="[$€-2]\ #,##0.00"/>
    <numFmt numFmtId="167" formatCode="#,##0.000"/>
  </numFmts>
  <fonts count="47">
    <font>
      <sz val="10"/>
      <color rgb="FF000000"/>
      <name val="Calibri"/>
      <scheme val="minor"/>
    </font>
    <font>
      <sz val="10"/>
      <color rgb="FF000000"/>
      <name val="Arial"/>
      <family val="2"/>
    </font>
    <font>
      <b/>
      <sz val="10"/>
      <color rgb="FFFFFFFF"/>
      <name val="Arial"/>
      <family val="2"/>
    </font>
    <font>
      <sz val="10"/>
      <color theme="1"/>
      <name val="Arial"/>
      <family val="2"/>
    </font>
    <font>
      <b/>
      <sz val="9"/>
      <color rgb="FF5D7079"/>
      <name val="Arial"/>
      <family val="2"/>
    </font>
    <font>
      <sz val="10"/>
      <color rgb="FF5D7079"/>
      <name val="Arial"/>
      <family val="2"/>
    </font>
    <font>
      <sz val="10"/>
      <color rgb="FF666666"/>
      <name val="Arial"/>
      <family val="2"/>
    </font>
    <font>
      <b/>
      <sz val="15"/>
      <color rgb="FF5D7079"/>
      <name val="Arial"/>
      <family val="2"/>
    </font>
    <font>
      <sz val="10"/>
      <color rgb="FF000000"/>
      <name val="Calibri"/>
      <family val="2"/>
      <scheme val="minor"/>
    </font>
    <font>
      <sz val="10"/>
      <name val="Arial"/>
      <family val="2"/>
    </font>
    <font>
      <b/>
      <sz val="12"/>
      <color rgb="FF56585B"/>
      <name val="Calibri"/>
      <family val="2"/>
      <scheme val="major"/>
    </font>
    <font>
      <sz val="12"/>
      <color indexed="8"/>
      <name val="Calibri"/>
      <family val="2"/>
      <scheme val="major"/>
    </font>
    <font>
      <sz val="12"/>
      <color rgb="FF000000"/>
      <name val="Calibri"/>
      <family val="2"/>
      <scheme val="major"/>
    </font>
    <font>
      <sz val="11"/>
      <color indexed="8"/>
      <name val="Calibri"/>
      <family val="2"/>
    </font>
    <font>
      <b/>
      <sz val="10"/>
      <color rgb="FF000000"/>
      <name val="Calibri"/>
      <family val="2"/>
      <scheme val="minor"/>
    </font>
    <font>
      <sz val="11"/>
      <name val="Calibri"/>
      <family val="2"/>
      <scheme val="major"/>
    </font>
    <font>
      <b/>
      <sz val="10"/>
      <name val="Arial"/>
      <family val="2"/>
    </font>
    <font>
      <i/>
      <sz val="10"/>
      <name val="Arial"/>
      <family val="2"/>
    </font>
    <font>
      <b/>
      <sz val="10"/>
      <color rgb="FFFF0000"/>
      <name val="Arial"/>
      <family val="2"/>
    </font>
    <font>
      <b/>
      <u/>
      <sz val="10"/>
      <name val="Arial"/>
      <family val="2"/>
    </font>
    <font>
      <b/>
      <sz val="10"/>
      <color rgb="FF000000"/>
      <name val="NimbusRomNo9L"/>
    </font>
    <font>
      <b/>
      <sz val="10"/>
      <color indexed="56"/>
      <name val="Arial"/>
      <family val="2"/>
    </font>
    <font>
      <sz val="10"/>
      <color indexed="10"/>
      <name val="Arial"/>
      <family val="2"/>
    </font>
    <font>
      <b/>
      <sz val="10"/>
      <color indexed="10"/>
      <name val="Arial"/>
      <family val="2"/>
    </font>
    <font>
      <b/>
      <sz val="10"/>
      <color indexed="12"/>
      <name val="Arial"/>
      <family val="2"/>
    </font>
    <font>
      <b/>
      <i/>
      <sz val="10"/>
      <color indexed="18"/>
      <name val="Arial"/>
      <family val="2"/>
    </font>
    <font>
      <b/>
      <sz val="10"/>
      <name val="Calibri"/>
      <family val="2"/>
      <scheme val="minor"/>
    </font>
    <font>
      <sz val="10"/>
      <name val="Calibri"/>
      <family val="2"/>
      <scheme val="minor"/>
    </font>
    <font>
      <b/>
      <sz val="12"/>
      <color rgb="FF000000"/>
      <name val="Calibri"/>
      <family val="2"/>
      <scheme val="minor"/>
    </font>
    <font>
      <b/>
      <sz val="10"/>
      <color rgb="FF4E535C"/>
      <name val="Arial"/>
      <family val="2"/>
    </font>
    <font>
      <b/>
      <sz val="10"/>
      <color rgb="FF5D7079"/>
      <name val="Arial"/>
      <family val="2"/>
    </font>
    <font>
      <sz val="9"/>
      <color rgb="FF000000"/>
      <name val="Arial"/>
      <family val="2"/>
    </font>
    <font>
      <b/>
      <sz val="10"/>
      <color theme="4" tint="-0.499984740745262"/>
      <name val="Calibri"/>
      <family val="2"/>
      <scheme val="minor"/>
    </font>
    <font>
      <b/>
      <sz val="16"/>
      <color rgb="FF5D7079"/>
      <name val="Arial"/>
      <family val="2"/>
    </font>
    <font>
      <i/>
      <sz val="10"/>
      <color rgb="FF000000"/>
      <name val="Arial"/>
      <family val="2"/>
    </font>
    <font>
      <b/>
      <sz val="18"/>
      <color rgb="FF000000"/>
      <name val="Arial"/>
      <family val="2"/>
    </font>
    <font>
      <sz val="10"/>
      <color rgb="FF000000"/>
      <name val="Aptos Narrow"/>
      <family val="2"/>
    </font>
    <font>
      <sz val="10"/>
      <color rgb="FF000000"/>
      <name val="Calibri"/>
      <family val="2"/>
      <scheme val="minor"/>
    </font>
    <font>
      <u/>
      <sz val="10"/>
      <color theme="10"/>
      <name val="Calibri"/>
      <family val="2"/>
      <scheme val="minor"/>
    </font>
    <font>
      <sz val="11"/>
      <color rgb="FF44546A"/>
      <name val="Calibri"/>
      <family val="2"/>
      <scheme val="minor"/>
    </font>
    <font>
      <sz val="11"/>
      <color rgb="FF1F497D"/>
      <name val="Calibri"/>
      <family val="2"/>
      <scheme val="minor"/>
    </font>
    <font>
      <sz val="11"/>
      <color rgb="FF000000"/>
      <name val="Calibri"/>
      <family val="2"/>
      <scheme val="minor"/>
    </font>
    <font>
      <sz val="10"/>
      <color rgb="FF1F497D"/>
      <name val="Aptos"/>
      <family val="2"/>
    </font>
    <font>
      <sz val="11"/>
      <color rgb="FF000000"/>
      <name val="Arial Narrow"/>
      <family val="2"/>
    </font>
    <font>
      <sz val="9"/>
      <color rgb="FF000000"/>
      <name val="Century Gothic"/>
      <family val="2"/>
    </font>
    <font>
      <sz val="8"/>
      <name val="Calibri"/>
      <family val="2"/>
      <scheme val="minor"/>
    </font>
    <font>
      <sz val="10"/>
      <color rgb="FF0A2F41"/>
      <name val="Century Schoolbook"/>
      <family val="1"/>
    </font>
  </fonts>
  <fills count="10">
    <fill>
      <patternFill patternType="none"/>
    </fill>
    <fill>
      <patternFill patternType="gray125"/>
    </fill>
    <fill>
      <patternFill patternType="solid">
        <fgColor rgb="FF2ED06E"/>
        <bgColor rgb="FF2ED06E"/>
      </patternFill>
    </fill>
    <fill>
      <patternFill patternType="solid">
        <fgColor rgb="FFE9E8E5"/>
      </patternFill>
    </fill>
    <fill>
      <patternFill patternType="solid">
        <fgColor rgb="FFFFFFFF"/>
      </patternFill>
    </fill>
    <fill>
      <patternFill patternType="solid">
        <fgColor indexed="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2" tint="-0.14999847407452621"/>
        <bgColor indexed="64"/>
      </patternFill>
    </fill>
    <fill>
      <patternFill patternType="solid">
        <fgColor theme="8" tint="0.79998168889431442"/>
        <bgColor indexed="64"/>
      </patternFill>
    </fill>
  </fills>
  <borders count="45">
    <border>
      <left/>
      <right/>
      <top/>
      <bottom/>
      <diagonal/>
    </border>
    <border>
      <left/>
      <right/>
      <top/>
      <bottom/>
      <diagonal/>
    </border>
    <border>
      <left style="thin">
        <color rgb="FFD5D3D1"/>
      </left>
      <right style="thin">
        <color rgb="FFD5D3D1"/>
      </right>
      <top style="thin">
        <color rgb="FFD5D3D1"/>
      </top>
      <bottom style="thin">
        <color rgb="FFD5D3D1"/>
      </bottom>
      <diagonal/>
    </border>
    <border>
      <left style="thin">
        <color rgb="FFD5D3D1"/>
      </left>
      <right style="thin">
        <color rgb="FFD5D3D1"/>
      </right>
      <top/>
      <bottom/>
      <diagonal/>
    </border>
    <border>
      <left style="thin">
        <color rgb="FFD5D3D1"/>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thin">
        <color indexed="64"/>
      </right>
      <top/>
      <bottom/>
      <diagonal/>
    </border>
  </borders>
  <cellStyleXfs count="3">
    <xf numFmtId="0" fontId="0" fillId="0" borderId="0"/>
    <xf numFmtId="9" fontId="37" fillId="0" borderId="0" applyFont="0" applyFill="0" applyBorder="0" applyAlignment="0" applyProtection="0"/>
    <xf numFmtId="0" fontId="38" fillId="0" borderId="0" applyNumberFormat="0" applyFill="0" applyBorder="0" applyAlignment="0" applyProtection="0"/>
  </cellStyleXfs>
  <cellXfs count="220">
    <xf numFmtId="0" fontId="0" fillId="0" borderId="0" xfId="0"/>
    <xf numFmtId="0" fontId="2" fillId="2" borderId="1" xfId="0" applyFont="1" applyFill="1" applyBorder="1" applyAlignment="1">
      <alignment vertical="center"/>
    </xf>
    <xf numFmtId="0" fontId="2" fillId="2" borderId="1" xfId="0" applyFont="1" applyFill="1" applyBorder="1" applyAlignment="1">
      <alignment horizontal="right" vertical="center"/>
    </xf>
    <xf numFmtId="0" fontId="8" fillId="0" borderId="0" xfId="0" applyFont="1"/>
    <xf numFmtId="0" fontId="10" fillId="3" borderId="3" xfId="0" applyFont="1" applyFill="1" applyBorder="1"/>
    <xf numFmtId="0" fontId="10" fillId="3" borderId="2" xfId="0" applyFont="1" applyFill="1" applyBorder="1"/>
    <xf numFmtId="0" fontId="11" fillId="0" borderId="0" xfId="0" applyFont="1"/>
    <xf numFmtId="0" fontId="12" fillId="4" borderId="2" xfId="0" applyFont="1" applyFill="1" applyBorder="1" applyAlignment="1">
      <alignment horizontal="left"/>
    </xf>
    <xf numFmtId="0" fontId="12" fillId="0" borderId="0" xfId="0" applyFont="1"/>
    <xf numFmtId="0" fontId="13" fillId="0" borderId="2" xfId="0" applyFont="1" applyBorder="1" applyAlignment="1">
      <alignment vertical="center"/>
    </xf>
    <xf numFmtId="0" fontId="0" fillId="0" borderId="2" xfId="0" applyBorder="1"/>
    <xf numFmtId="0" fontId="12" fillId="4" borderId="4" xfId="0" applyFont="1" applyFill="1" applyBorder="1" applyAlignment="1">
      <alignment horizontal="left"/>
    </xf>
    <xf numFmtId="0" fontId="16" fillId="0" borderId="0" xfId="0" applyFont="1" applyAlignment="1">
      <alignment vertical="center"/>
    </xf>
    <xf numFmtId="0" fontId="16" fillId="0" borderId="0" xfId="0" applyFont="1" applyAlignment="1">
      <alignment vertical="center" wrapText="1"/>
    </xf>
    <xf numFmtId="0" fontId="23" fillId="5" borderId="0" xfId="0" applyFont="1" applyFill="1" applyAlignment="1">
      <alignment horizontal="center" vertical="center"/>
    </xf>
    <xf numFmtId="9" fontId="22" fillId="0" borderId="0" xfId="0" applyNumberFormat="1" applyFont="1" applyAlignment="1">
      <alignment horizontal="center" vertical="center"/>
    </xf>
    <xf numFmtId="165" fontId="23" fillId="0" borderId="0" xfId="0" applyNumberFormat="1" applyFont="1" applyAlignment="1">
      <alignment horizontal="center" vertical="center"/>
    </xf>
    <xf numFmtId="0" fontId="17" fillId="0" borderId="0" xfId="0" applyFont="1" applyAlignment="1">
      <alignment vertical="center"/>
    </xf>
    <xf numFmtId="0" fontId="18" fillId="0" borderId="0" xfId="0" applyFont="1" applyAlignment="1">
      <alignment vertical="center"/>
    </xf>
    <xf numFmtId="0" fontId="20" fillId="0" borderId="0" xfId="0" applyFont="1" applyAlignment="1">
      <alignment vertical="center"/>
    </xf>
    <xf numFmtId="0" fontId="21" fillId="0" borderId="0" xfId="0" applyFont="1" applyAlignment="1">
      <alignment horizontal="center" vertical="center"/>
    </xf>
    <xf numFmtId="0" fontId="22" fillId="0" borderId="0" xfId="0" applyFont="1" applyAlignment="1">
      <alignment horizontal="center" vertical="center"/>
    </xf>
    <xf numFmtId="10" fontId="21" fillId="0" borderId="0" xfId="0" applyNumberFormat="1" applyFont="1" applyAlignment="1">
      <alignment horizontal="center" vertical="center"/>
    </xf>
    <xf numFmtId="0" fontId="24" fillId="0" borderId="0" xfId="0" applyFont="1" applyAlignment="1">
      <alignment vertical="center"/>
    </xf>
    <xf numFmtId="0" fontId="19" fillId="0" borderId="0" xfId="0" applyFont="1" applyAlignment="1">
      <alignment vertical="center"/>
    </xf>
    <xf numFmtId="0" fontId="9" fillId="0" borderId="0" xfId="0" applyFont="1" applyAlignment="1">
      <alignment vertical="center"/>
    </xf>
    <xf numFmtId="0" fontId="8" fillId="0" borderId="0" xfId="0" applyFont="1" applyAlignment="1">
      <alignment vertical="center"/>
    </xf>
    <xf numFmtId="165" fontId="16" fillId="0" borderId="0" xfId="0" applyNumberFormat="1" applyFont="1" applyAlignment="1">
      <alignment horizontal="center" vertical="center"/>
    </xf>
    <xf numFmtId="0" fontId="9" fillId="0" borderId="6" xfId="0" applyFont="1" applyBorder="1" applyAlignment="1">
      <alignment vertical="center"/>
    </xf>
    <xf numFmtId="165" fontId="8" fillId="0" borderId="0" xfId="0" applyNumberFormat="1" applyFont="1" applyAlignment="1">
      <alignment vertical="center"/>
    </xf>
    <xf numFmtId="166" fontId="16" fillId="0" borderId="0" xfId="0" applyNumberFormat="1" applyFont="1" applyAlignment="1">
      <alignment horizontal="center" vertical="center"/>
    </xf>
    <xf numFmtId="2" fontId="9" fillId="0" borderId="0" xfId="0" applyNumberFormat="1" applyFont="1" applyAlignment="1">
      <alignment vertical="center"/>
    </xf>
    <xf numFmtId="165" fontId="25" fillId="0" borderId="0" xfId="0" applyNumberFormat="1" applyFont="1" applyAlignment="1">
      <alignment horizontal="center" vertical="center"/>
    </xf>
    <xf numFmtId="0" fontId="8" fillId="0" borderId="0" xfId="0" applyFont="1" applyAlignment="1">
      <alignment horizontal="center" vertical="center"/>
    </xf>
    <xf numFmtId="165" fontId="24" fillId="0" borderId="0" xfId="0" applyNumberFormat="1" applyFont="1" applyAlignment="1">
      <alignment vertical="center"/>
    </xf>
    <xf numFmtId="165" fontId="24" fillId="0" borderId="0" xfId="0" applyNumberFormat="1" applyFont="1" applyAlignment="1">
      <alignment horizontal="center" vertical="center"/>
    </xf>
    <xf numFmtId="165" fontId="16" fillId="0" borderId="0" xfId="0" applyNumberFormat="1" applyFont="1" applyAlignment="1">
      <alignment vertical="center"/>
    </xf>
    <xf numFmtId="0" fontId="8" fillId="0" borderId="5" xfId="0" applyFont="1" applyBorder="1" applyAlignment="1">
      <alignment horizontal="right" vertical="center"/>
    </xf>
    <xf numFmtId="2" fontId="8" fillId="0" borderId="6" xfId="0" applyNumberFormat="1" applyFont="1" applyBorder="1" applyAlignment="1">
      <alignment horizontal="right" vertical="center"/>
    </xf>
    <xf numFmtId="0" fontId="8" fillId="0" borderId="11" xfId="0" applyFont="1" applyBorder="1" applyAlignment="1">
      <alignment horizontal="left" vertical="center"/>
    </xf>
    <xf numFmtId="0" fontId="14" fillId="0" borderId="9" xfId="0" applyFont="1" applyBorder="1" applyAlignment="1">
      <alignment horizontal="left" vertical="center"/>
    </xf>
    <xf numFmtId="165" fontId="8" fillId="0" borderId="6" xfId="0" applyNumberFormat="1" applyFont="1" applyBorder="1" applyAlignment="1">
      <alignment horizontal="right" vertical="center"/>
    </xf>
    <xf numFmtId="165" fontId="8" fillId="0" borderId="6" xfId="0" applyNumberFormat="1" applyFont="1" applyBorder="1" applyAlignment="1">
      <alignment vertical="center"/>
    </xf>
    <xf numFmtId="0" fontId="14" fillId="0" borderId="14" xfId="0" applyFont="1" applyBorder="1" applyAlignment="1">
      <alignment vertical="center"/>
    </xf>
    <xf numFmtId="165" fontId="16" fillId="0" borderId="7" xfId="0" applyNumberFormat="1" applyFont="1" applyBorder="1" applyAlignment="1">
      <alignment horizontal="center" vertical="center"/>
    </xf>
    <xf numFmtId="0" fontId="8" fillId="6" borderId="12" xfId="0" applyFont="1" applyFill="1" applyBorder="1" applyAlignment="1">
      <alignment horizontal="left" vertical="center"/>
    </xf>
    <xf numFmtId="0" fontId="8" fillId="6" borderId="7" xfId="0" applyFont="1" applyFill="1" applyBorder="1" applyAlignment="1">
      <alignment horizontal="right" vertical="center"/>
    </xf>
    <xf numFmtId="0" fontId="26" fillId="0" borderId="9" xfId="0" applyFont="1" applyBorder="1" applyAlignment="1">
      <alignment horizontal="left" vertical="center"/>
    </xf>
    <xf numFmtId="0" fontId="14" fillId="0" borderId="11" xfId="0" applyFont="1" applyBorder="1" applyAlignment="1">
      <alignment horizontal="left" vertical="center"/>
    </xf>
    <xf numFmtId="165" fontId="8" fillId="0" borderId="5" xfId="0" applyNumberFormat="1" applyFont="1" applyBorder="1" applyAlignment="1">
      <alignment horizontal="right" vertical="center"/>
    </xf>
    <xf numFmtId="165" fontId="27" fillId="0" borderId="6" xfId="0" applyNumberFormat="1" applyFont="1" applyBorder="1" applyAlignment="1">
      <alignment horizontal="right" vertical="center"/>
    </xf>
    <xf numFmtId="0" fontId="28" fillId="0" borderId="0" xfId="0" applyFont="1" applyAlignment="1">
      <alignment vertical="center"/>
    </xf>
    <xf numFmtId="0" fontId="14" fillId="0" borderId="6" xfId="0" applyFont="1" applyBorder="1"/>
    <xf numFmtId="0" fontId="0" fillId="0" borderId="6" xfId="0" applyBorder="1"/>
    <xf numFmtId="0" fontId="8" fillId="0" borderId="6" xfId="0" applyFont="1" applyBorder="1"/>
    <xf numFmtId="0" fontId="0" fillId="0" borderId="6" xfId="0" applyBorder="1" applyAlignment="1">
      <alignment horizontal="left"/>
    </xf>
    <xf numFmtId="0" fontId="8" fillId="0" borderId="6" xfId="0" applyFont="1" applyBorder="1" applyAlignment="1">
      <alignment horizontal="left"/>
    </xf>
    <xf numFmtId="0" fontId="14" fillId="0" borderId="16" xfId="0" applyFont="1" applyBorder="1" applyAlignment="1">
      <alignment vertical="center"/>
    </xf>
    <xf numFmtId="0" fontId="9" fillId="0" borderId="7" xfId="0" applyFont="1" applyBorder="1" applyAlignment="1">
      <alignment vertical="center"/>
    </xf>
    <xf numFmtId="0" fontId="9" fillId="0" borderId="18" xfId="0" applyFont="1" applyBorder="1" applyAlignment="1">
      <alignment vertical="center"/>
    </xf>
    <xf numFmtId="0" fontId="14" fillId="0" borderId="20" xfId="0" applyFont="1" applyBorder="1" applyAlignment="1">
      <alignment vertical="center"/>
    </xf>
    <xf numFmtId="0" fontId="14" fillId="0" borderId="15" xfId="0" applyFont="1" applyBorder="1" applyAlignment="1">
      <alignment vertical="center"/>
    </xf>
    <xf numFmtId="0" fontId="9" fillId="0" borderId="22" xfId="0" applyFont="1" applyBorder="1" applyAlignment="1">
      <alignment horizontal="right" vertical="center"/>
    </xf>
    <xf numFmtId="0" fontId="8" fillId="0" borderId="22" xfId="0" applyFont="1" applyBorder="1" applyAlignment="1">
      <alignment vertical="center"/>
    </xf>
    <xf numFmtId="9" fontId="9" fillId="0" borderId="22" xfId="0" applyNumberFormat="1" applyFont="1" applyBorder="1" applyAlignment="1">
      <alignment vertical="center"/>
    </xf>
    <xf numFmtId="0" fontId="9" fillId="0" borderId="22" xfId="0" applyFont="1" applyBorder="1" applyAlignment="1">
      <alignment vertical="center"/>
    </xf>
    <xf numFmtId="0" fontId="9" fillId="0" borderId="25" xfId="0" applyFont="1" applyBorder="1" applyAlignment="1">
      <alignment vertical="center"/>
    </xf>
    <xf numFmtId="0" fontId="14" fillId="0" borderId="27" xfId="0" applyFont="1" applyBorder="1" applyAlignment="1">
      <alignment vertical="center"/>
    </xf>
    <xf numFmtId="0" fontId="8" fillId="0" borderId="24" xfId="0" applyFont="1" applyBorder="1" applyAlignment="1">
      <alignment horizontal="right" vertical="center"/>
    </xf>
    <xf numFmtId="165" fontId="8" fillId="0" borderId="24" xfId="0" applyNumberFormat="1" applyFont="1" applyBorder="1" applyAlignment="1">
      <alignment horizontal="right" vertical="center"/>
    </xf>
    <xf numFmtId="165" fontId="8" fillId="0" borderId="25" xfId="0" applyNumberFormat="1" applyFont="1" applyBorder="1" applyAlignment="1">
      <alignment horizontal="right" vertical="center"/>
    </xf>
    <xf numFmtId="165" fontId="8" fillId="0" borderId="25" xfId="0" applyNumberFormat="1" applyFont="1" applyBorder="1" applyAlignment="1">
      <alignment vertical="center"/>
    </xf>
    <xf numFmtId="165" fontId="27" fillId="0" borderId="25" xfId="0" applyNumberFormat="1" applyFont="1" applyBorder="1" applyAlignment="1">
      <alignment horizontal="right" vertical="center"/>
    </xf>
    <xf numFmtId="0" fontId="14" fillId="0" borderId="23" xfId="0" applyFont="1" applyBorder="1" applyAlignment="1">
      <alignment vertical="center"/>
    </xf>
    <xf numFmtId="165" fontId="9" fillId="0" borderId="28" xfId="0" applyNumberFormat="1" applyFont="1" applyBorder="1" applyAlignment="1">
      <alignment horizontal="right" vertical="center"/>
    </xf>
    <xf numFmtId="0" fontId="9" fillId="6" borderId="30" xfId="0" applyFont="1" applyFill="1" applyBorder="1" applyAlignment="1">
      <alignment horizontal="right" vertical="center"/>
    </xf>
    <xf numFmtId="0" fontId="31" fillId="0" borderId="0" xfId="0" applyFont="1"/>
    <xf numFmtId="165" fontId="27" fillId="0" borderId="28" xfId="0" applyNumberFormat="1" applyFont="1" applyBorder="1" applyAlignment="1">
      <alignment horizontal="right" vertical="center"/>
    </xf>
    <xf numFmtId="165" fontId="27" fillId="0" borderId="29" xfId="0" applyNumberFormat="1" applyFont="1" applyBorder="1" applyAlignment="1">
      <alignment horizontal="right" vertical="center"/>
    </xf>
    <xf numFmtId="165" fontId="28" fillId="0" borderId="0" xfId="0" applyNumberFormat="1" applyFont="1" applyAlignment="1">
      <alignment vertical="center"/>
    </xf>
    <xf numFmtId="0" fontId="26" fillId="0" borderId="31" xfId="0" applyFont="1" applyBorder="1" applyAlignment="1">
      <alignment horizontal="left" vertical="center"/>
    </xf>
    <xf numFmtId="165" fontId="8" fillId="0" borderId="37" xfId="0" applyNumberFormat="1" applyFont="1" applyBorder="1" applyAlignment="1">
      <alignment vertical="center"/>
    </xf>
    <xf numFmtId="165" fontId="27" fillId="0" borderId="32" xfId="0" applyNumberFormat="1" applyFont="1" applyBorder="1" applyAlignment="1">
      <alignment horizontal="right" vertical="center"/>
    </xf>
    <xf numFmtId="165" fontId="27" fillId="0" borderId="34" xfId="0" applyNumberFormat="1" applyFont="1" applyBorder="1" applyAlignment="1">
      <alignment horizontal="right" vertical="center"/>
    </xf>
    <xf numFmtId="165" fontId="8" fillId="0" borderId="18" xfId="0" applyNumberFormat="1" applyFont="1" applyBorder="1" applyAlignment="1">
      <alignment vertical="center"/>
    </xf>
    <xf numFmtId="165" fontId="8" fillId="0" borderId="17" xfId="0" applyNumberFormat="1" applyFont="1" applyBorder="1" applyAlignment="1">
      <alignment horizontal="right" vertical="center"/>
    </xf>
    <xf numFmtId="0" fontId="8" fillId="0" borderId="1" xfId="0" applyFont="1" applyBorder="1" applyAlignment="1">
      <alignment vertical="center"/>
    </xf>
    <xf numFmtId="0" fontId="8" fillId="0" borderId="8" xfId="0" applyFont="1" applyBorder="1" applyAlignment="1">
      <alignment horizontal="left" vertical="center"/>
    </xf>
    <xf numFmtId="0" fontId="8" fillId="0" borderId="10" xfId="0" applyFont="1" applyBorder="1" applyAlignment="1">
      <alignment horizontal="left" vertical="center"/>
    </xf>
    <xf numFmtId="0" fontId="8" fillId="0" borderId="13" xfId="0" applyFont="1" applyBorder="1" applyAlignment="1">
      <alignment horizontal="left" vertical="center"/>
    </xf>
    <xf numFmtId="0" fontId="9" fillId="0" borderId="5" xfId="0" applyFont="1" applyBorder="1" applyAlignment="1">
      <alignment horizontal="left" vertical="center"/>
    </xf>
    <xf numFmtId="0" fontId="14" fillId="0" borderId="21" xfId="0" applyFont="1" applyBorder="1" applyAlignment="1">
      <alignment horizontal="center" vertical="center"/>
    </xf>
    <xf numFmtId="165" fontId="8" fillId="0" borderId="6" xfId="0" applyNumberFormat="1" applyFont="1" applyBorder="1" applyAlignment="1">
      <alignment horizontal="center" vertical="center"/>
    </xf>
    <xf numFmtId="165" fontId="8" fillId="0" borderId="10" xfId="0" applyNumberFormat="1" applyFont="1" applyBorder="1" applyAlignment="1">
      <alignment horizontal="center" vertical="center"/>
    </xf>
    <xf numFmtId="165" fontId="9" fillId="0" borderId="7" xfId="0" applyNumberFormat="1" applyFont="1" applyBorder="1" applyAlignment="1">
      <alignment horizontal="center" vertical="center"/>
    </xf>
    <xf numFmtId="0" fontId="8" fillId="0" borderId="1" xfId="0" applyFont="1" applyBorder="1" applyAlignment="1">
      <alignment horizontal="center" vertical="center"/>
    </xf>
    <xf numFmtId="165" fontId="8" fillId="0" borderId="1" xfId="0" applyNumberFormat="1" applyFont="1" applyBorder="1" applyAlignment="1">
      <alignment horizontal="center" vertical="center"/>
    </xf>
    <xf numFmtId="0" fontId="9" fillId="0" borderId="1" xfId="0" applyFont="1" applyBorder="1" applyAlignment="1">
      <alignment horizontal="center" vertical="center"/>
    </xf>
    <xf numFmtId="165" fontId="9" fillId="0" borderId="13" xfId="0" applyNumberFormat="1" applyFont="1" applyBorder="1" applyAlignment="1">
      <alignment horizontal="center" vertical="center"/>
    </xf>
    <xf numFmtId="0" fontId="16" fillId="7" borderId="8" xfId="0" applyFont="1" applyFill="1" applyBorder="1" applyAlignment="1">
      <alignment horizontal="center" vertical="center"/>
    </xf>
    <xf numFmtId="165" fontId="16" fillId="7" borderId="11" xfId="0" applyNumberFormat="1" applyFont="1" applyFill="1" applyBorder="1" applyAlignment="1">
      <alignment horizontal="left" vertical="center"/>
    </xf>
    <xf numFmtId="165" fontId="16" fillId="7" borderId="9" xfId="0" applyNumberFormat="1" applyFont="1" applyFill="1" applyBorder="1" applyAlignment="1">
      <alignment horizontal="left" vertical="center"/>
    </xf>
    <xf numFmtId="165" fontId="16" fillId="7" borderId="12" xfId="0" applyNumberFormat="1" applyFont="1" applyFill="1" applyBorder="1" applyAlignment="1">
      <alignment horizontal="left" vertical="center"/>
    </xf>
    <xf numFmtId="0" fontId="14" fillId="7" borderId="5" xfId="0" applyFont="1" applyFill="1" applyBorder="1" applyAlignment="1">
      <alignment horizontal="left" vertical="center"/>
    </xf>
    <xf numFmtId="0" fontId="14" fillId="7" borderId="6" xfId="0" applyFont="1" applyFill="1" applyBorder="1" applyAlignment="1">
      <alignment horizontal="left" vertical="center"/>
    </xf>
    <xf numFmtId="0" fontId="14" fillId="7" borderId="7" xfId="0" applyFont="1" applyFill="1" applyBorder="1" applyAlignment="1">
      <alignment horizontal="left" vertical="center"/>
    </xf>
    <xf numFmtId="165" fontId="16" fillId="7" borderId="39" xfId="0" applyNumberFormat="1" applyFont="1" applyFill="1" applyBorder="1" applyAlignment="1">
      <alignment horizontal="left" vertical="center"/>
    </xf>
    <xf numFmtId="0" fontId="14" fillId="0" borderId="8" xfId="0" applyFont="1" applyBorder="1" applyAlignment="1">
      <alignment vertical="center"/>
    </xf>
    <xf numFmtId="0" fontId="8" fillId="0" borderId="0" xfId="0" applyFont="1" applyAlignment="1">
      <alignment vertical="center" wrapText="1"/>
    </xf>
    <xf numFmtId="0" fontId="1" fillId="0" borderId="1" xfId="0" applyFont="1" applyBorder="1" applyAlignment="1">
      <alignment vertical="center"/>
    </xf>
    <xf numFmtId="4" fontId="3" fillId="0" borderId="1" xfId="0" applyNumberFormat="1" applyFont="1" applyBorder="1" applyAlignment="1">
      <alignment horizontal="right" vertical="center"/>
    </xf>
    <xf numFmtId="167" fontId="3" fillId="0" borderId="1" xfId="0" applyNumberFormat="1" applyFont="1" applyBorder="1" applyAlignment="1">
      <alignment horizontal="right" vertical="center"/>
    </xf>
    <xf numFmtId="164" fontId="4" fillId="0" borderId="1" xfId="0" applyNumberFormat="1" applyFont="1" applyBorder="1" applyAlignment="1">
      <alignment horizontal="right" vertical="center"/>
    </xf>
    <xf numFmtId="0" fontId="30" fillId="0" borderId="1" xfId="0" applyFont="1" applyBorder="1" applyAlignment="1">
      <alignment horizontal="right" vertical="center"/>
    </xf>
    <xf numFmtId="167" fontId="29" fillId="0" borderId="1" xfId="0" applyNumberFormat="1" applyFont="1" applyBorder="1" applyAlignment="1">
      <alignment horizontal="right" vertical="center"/>
    </xf>
    <xf numFmtId="0" fontId="1" fillId="0" borderId="0" xfId="0" applyFont="1"/>
    <xf numFmtId="0" fontId="1" fillId="0" borderId="1" xfId="0" applyFont="1" applyBorder="1"/>
    <xf numFmtId="15"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vertical="top"/>
    </xf>
    <xf numFmtId="0" fontId="6" fillId="0" borderId="1" xfId="0" applyFont="1" applyBorder="1"/>
    <xf numFmtId="0" fontId="1" fillId="0" borderId="1" xfId="0" applyFont="1" applyBorder="1" applyAlignment="1">
      <alignment vertical="top" wrapText="1"/>
    </xf>
    <xf numFmtId="0" fontId="3" fillId="0" borderId="1" xfId="0" applyFont="1" applyBorder="1" applyAlignment="1">
      <alignment vertical="center" wrapText="1"/>
    </xf>
    <xf numFmtId="0" fontId="3" fillId="0" borderId="1" xfId="0" applyFont="1" applyBorder="1" applyAlignment="1">
      <alignment horizontal="right" vertical="center"/>
    </xf>
    <xf numFmtId="0" fontId="34" fillId="0" borderId="0" xfId="0" applyFont="1"/>
    <xf numFmtId="167" fontId="5" fillId="0" borderId="1" xfId="0" applyNumberFormat="1" applyFont="1" applyBorder="1" applyAlignment="1">
      <alignment horizontal="right" vertical="center"/>
    </xf>
    <xf numFmtId="0" fontId="1" fillId="8" borderId="0" xfId="0" applyFont="1" applyFill="1"/>
    <xf numFmtId="15" fontId="8" fillId="0" borderId="26" xfId="0" applyNumberFormat="1" applyFont="1" applyBorder="1" applyAlignment="1">
      <alignment horizontal="left" vertical="center"/>
    </xf>
    <xf numFmtId="0" fontId="9" fillId="0" borderId="40" xfId="0" applyFont="1" applyBorder="1" applyAlignment="1">
      <alignment horizontal="left" vertical="center"/>
    </xf>
    <xf numFmtId="0" fontId="8" fillId="0" borderId="25" xfId="0" applyFont="1" applyBorder="1" applyAlignment="1">
      <alignment horizontal="left" vertical="center"/>
    </xf>
    <xf numFmtId="0" fontId="8" fillId="0" borderId="26" xfId="0" applyFont="1" applyBorder="1" applyAlignment="1">
      <alignment horizontal="left" vertical="center"/>
    </xf>
    <xf numFmtId="0" fontId="16" fillId="7" borderId="11" xfId="0" applyFont="1" applyFill="1" applyBorder="1" applyAlignment="1">
      <alignment horizontal="left" vertical="center"/>
    </xf>
    <xf numFmtId="0" fontId="16" fillId="7" borderId="9" xfId="0" applyFont="1" applyFill="1" applyBorder="1" applyAlignment="1">
      <alignment horizontal="left" vertical="center"/>
    </xf>
    <xf numFmtId="0" fontId="16" fillId="7" borderId="12" xfId="0" applyFont="1" applyFill="1" applyBorder="1" applyAlignment="1">
      <alignment horizontal="left" vertical="center"/>
    </xf>
    <xf numFmtId="0" fontId="1" fillId="0" borderId="0" xfId="0" applyFont="1" applyAlignment="1">
      <alignment vertical="center"/>
    </xf>
    <xf numFmtId="0" fontId="14" fillId="7" borderId="6" xfId="0" applyFont="1" applyFill="1" applyBorder="1"/>
    <xf numFmtId="0" fontId="16" fillId="7" borderId="41" xfId="0" applyFont="1" applyFill="1" applyBorder="1" applyAlignment="1">
      <alignment horizontal="left" vertical="center"/>
    </xf>
    <xf numFmtId="0" fontId="9" fillId="0" borderId="42" xfId="0" applyFont="1" applyBorder="1" applyAlignment="1">
      <alignment horizontal="left" vertical="center"/>
    </xf>
    <xf numFmtId="0" fontId="14" fillId="7" borderId="42" xfId="0" applyFont="1" applyFill="1" applyBorder="1" applyAlignment="1">
      <alignment horizontal="left" vertical="center"/>
    </xf>
    <xf numFmtId="0" fontId="12" fillId="4" borderId="0" xfId="0" applyFont="1" applyFill="1" applyAlignment="1">
      <alignment horizontal="left"/>
    </xf>
    <xf numFmtId="0" fontId="12" fillId="4" borderId="1" xfId="0" applyFont="1" applyFill="1" applyBorder="1" applyAlignment="1">
      <alignment horizontal="left"/>
    </xf>
    <xf numFmtId="0" fontId="15" fillId="0" borderId="0" xfId="0" applyFont="1" applyAlignment="1">
      <alignment horizontal="left" vertical="center"/>
    </xf>
    <xf numFmtId="0" fontId="1" fillId="0" borderId="0" xfId="0" applyFont="1" applyAlignment="1">
      <alignment horizontal="right" vertical="center"/>
    </xf>
    <xf numFmtId="0" fontId="6" fillId="0" borderId="1" xfId="0" applyFont="1" applyBorder="1" applyAlignment="1">
      <alignment vertical="center" wrapText="1"/>
    </xf>
    <xf numFmtId="0" fontId="36" fillId="0" borderId="0" xfId="0" applyFont="1" applyAlignment="1">
      <alignment horizontal="right" vertical="center"/>
    </xf>
    <xf numFmtId="0" fontId="8" fillId="0" borderId="43" xfId="0" applyFont="1" applyBorder="1" applyAlignment="1">
      <alignment vertical="center"/>
    </xf>
    <xf numFmtId="0" fontId="8" fillId="0" borderId="24" xfId="0" applyFont="1" applyBorder="1" applyAlignment="1">
      <alignment vertical="center"/>
    </xf>
    <xf numFmtId="0" fontId="8" fillId="0" borderId="25" xfId="0" applyFont="1" applyBorder="1" applyAlignment="1">
      <alignment vertical="center"/>
    </xf>
    <xf numFmtId="0" fontId="8" fillId="0" borderId="26" xfId="0" applyFont="1" applyBorder="1" applyAlignment="1">
      <alignment vertical="center"/>
    </xf>
    <xf numFmtId="0" fontId="14" fillId="7" borderId="11" xfId="0" applyFont="1" applyFill="1" applyBorder="1" applyAlignment="1">
      <alignment horizontal="left" vertical="center"/>
    </xf>
    <xf numFmtId="0" fontId="14" fillId="7" borderId="9" xfId="0" applyFont="1" applyFill="1" applyBorder="1" applyAlignment="1">
      <alignment horizontal="left" vertical="center"/>
    </xf>
    <xf numFmtId="0" fontId="14" fillId="7" borderId="12" xfId="0" applyFont="1" applyFill="1" applyBorder="1" applyAlignment="1">
      <alignment horizontal="left" vertical="center"/>
    </xf>
    <xf numFmtId="0" fontId="14" fillId="0" borderId="0" xfId="0" applyFont="1" applyAlignment="1">
      <alignment horizontal="right" vertical="center"/>
    </xf>
    <xf numFmtId="9" fontId="8" fillId="0" borderId="0" xfId="1" applyFont="1" applyAlignment="1">
      <alignment vertical="center"/>
    </xf>
    <xf numFmtId="0" fontId="8" fillId="0" borderId="6" xfId="0" quotePrefix="1" applyFont="1" applyBorder="1"/>
    <xf numFmtId="0" fontId="38" fillId="0" borderId="6" xfId="2" applyBorder="1"/>
    <xf numFmtId="0" fontId="11" fillId="0" borderId="1" xfId="0" applyFont="1" applyBorder="1"/>
    <xf numFmtId="165" fontId="27" fillId="0" borderId="33" xfId="0" applyNumberFormat="1" applyFont="1" applyBorder="1" applyAlignment="1">
      <alignment horizontal="right" vertical="center"/>
    </xf>
    <xf numFmtId="165" fontId="8" fillId="0" borderId="5" xfId="0" applyNumberFormat="1" applyFont="1" applyBorder="1" applyAlignment="1">
      <alignment vertical="center"/>
    </xf>
    <xf numFmtId="165" fontId="8" fillId="0" borderId="24" xfId="0" applyNumberFormat="1" applyFont="1" applyBorder="1" applyAlignment="1">
      <alignment vertical="center"/>
    </xf>
    <xf numFmtId="0" fontId="38" fillId="0" borderId="1" xfId="2" applyBorder="1"/>
    <xf numFmtId="0" fontId="8" fillId="0" borderId="1" xfId="0" applyFont="1" applyBorder="1"/>
    <xf numFmtId="0" fontId="39" fillId="0" borderId="0" xfId="0" applyFont="1"/>
    <xf numFmtId="0" fontId="38" fillId="0" borderId="0" xfId="2"/>
    <xf numFmtId="0" fontId="11" fillId="0" borderId="1" xfId="0" applyFont="1" applyBorder="1" applyAlignment="1">
      <alignment wrapText="1"/>
    </xf>
    <xf numFmtId="0" fontId="41" fillId="0" borderId="0" xfId="0" applyFont="1" applyAlignment="1">
      <alignment wrapText="1"/>
    </xf>
    <xf numFmtId="0" fontId="42" fillId="0" borderId="0" xfId="0" applyFont="1" applyAlignment="1">
      <alignment vertical="center"/>
    </xf>
    <xf numFmtId="0" fontId="0" fillId="0" borderId="0" xfId="0" applyAlignment="1">
      <alignment horizontal="left"/>
    </xf>
    <xf numFmtId="0" fontId="43" fillId="0" borderId="0" xfId="0" applyFont="1"/>
    <xf numFmtId="0" fontId="8" fillId="0" borderId="44" xfId="0" applyFont="1" applyBorder="1"/>
    <xf numFmtId="0" fontId="0" fillId="0" borderId="44" xfId="0" applyBorder="1"/>
    <xf numFmtId="0" fontId="1" fillId="0" borderId="1" xfId="0" applyFont="1" applyBorder="1" applyAlignment="1">
      <alignment vertical="center" wrapText="1"/>
    </xf>
    <xf numFmtId="0" fontId="41" fillId="0" borderId="0" xfId="0" applyFont="1" applyAlignment="1">
      <alignment vertical="center"/>
    </xf>
    <xf numFmtId="0" fontId="44" fillId="0" borderId="0" xfId="0" applyFont="1"/>
    <xf numFmtId="0" fontId="38" fillId="0" borderId="0" xfId="2" applyAlignment="1">
      <alignment horizontal="left" vertical="center" wrapText="1" indent="1"/>
    </xf>
    <xf numFmtId="0" fontId="0" fillId="0" borderId="0" xfId="0" quotePrefix="1"/>
    <xf numFmtId="0" fontId="1" fillId="0" borderId="1" xfId="0" applyFont="1" applyBorder="1" applyAlignment="1">
      <alignment horizontal="left" vertical="center" wrapText="1"/>
    </xf>
    <xf numFmtId="0" fontId="1" fillId="0" borderId="0" xfId="0" applyFont="1" applyAlignment="1">
      <alignment horizontal="left" vertical="center"/>
    </xf>
    <xf numFmtId="0" fontId="9" fillId="0" borderId="6" xfId="0" applyFont="1" applyBorder="1" applyAlignment="1">
      <alignment horizontal="left" vertical="center"/>
    </xf>
    <xf numFmtId="0" fontId="9" fillId="0" borderId="7" xfId="0" applyFont="1" applyBorder="1" applyAlignment="1">
      <alignment horizontal="left" vertical="center"/>
    </xf>
    <xf numFmtId="0" fontId="16" fillId="7" borderId="5" xfId="0" applyFont="1" applyFill="1" applyBorder="1" applyAlignment="1">
      <alignment horizontal="center" vertical="center"/>
    </xf>
    <xf numFmtId="0" fontId="8" fillId="0" borderId="9" xfId="0" applyFont="1" applyBorder="1" applyAlignment="1">
      <alignment horizontal="left" vertical="center"/>
    </xf>
    <xf numFmtId="0" fontId="8" fillId="0" borderId="31" xfId="0" applyFont="1" applyBorder="1" applyAlignment="1">
      <alignment horizontal="left" vertical="center"/>
    </xf>
    <xf numFmtId="2" fontId="8" fillId="0" borderId="32" xfId="0" applyNumberFormat="1" applyFont="1" applyBorder="1" applyAlignment="1">
      <alignment horizontal="right" vertical="center"/>
    </xf>
    <xf numFmtId="165" fontId="9" fillId="0" borderId="22" xfId="0" applyNumberFormat="1" applyFont="1" applyBorder="1" applyAlignment="1">
      <alignment horizontal="right" vertical="center"/>
    </xf>
    <xf numFmtId="0" fontId="46" fillId="0" borderId="0" xfId="0" applyFont="1"/>
    <xf numFmtId="0" fontId="8" fillId="0" borderId="0" xfId="0" quotePrefix="1" applyFont="1"/>
    <xf numFmtId="0" fontId="8" fillId="0" borderId="39" xfId="0" applyFont="1" applyBorder="1" applyAlignment="1">
      <alignment horizontal="left" vertical="center"/>
    </xf>
    <xf numFmtId="0" fontId="31" fillId="0" borderId="0" xfId="0" applyFont="1" applyAlignment="1">
      <alignment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16" fillId="0" borderId="23" xfId="0" applyFont="1" applyBorder="1" applyAlignment="1">
      <alignment horizontal="center" vertical="center"/>
    </xf>
    <xf numFmtId="0" fontId="9" fillId="0" borderId="9" xfId="0" applyFont="1" applyBorder="1" applyAlignment="1">
      <alignment horizontal="left" vertical="center"/>
    </xf>
    <xf numFmtId="0" fontId="9" fillId="0" borderId="6" xfId="0" applyFont="1" applyBorder="1" applyAlignment="1">
      <alignment horizontal="left" vertical="center"/>
    </xf>
    <xf numFmtId="0" fontId="9" fillId="0" borderId="12" xfId="0" applyFont="1" applyBorder="1" applyAlignment="1">
      <alignment horizontal="left" vertical="center"/>
    </xf>
    <xf numFmtId="0" fontId="9" fillId="0" borderId="7" xfId="0" applyFont="1" applyBorder="1" applyAlignment="1">
      <alignment horizontal="left" vertical="center"/>
    </xf>
    <xf numFmtId="0" fontId="16" fillId="0" borderId="11"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7" borderId="11" xfId="0" applyFont="1" applyFill="1" applyBorder="1" applyAlignment="1">
      <alignment horizontal="center" vertical="center"/>
    </xf>
    <xf numFmtId="0" fontId="16" fillId="7" borderId="5" xfId="0" applyFont="1" applyFill="1" applyBorder="1" applyAlignment="1">
      <alignment horizontal="center" vertical="center"/>
    </xf>
    <xf numFmtId="0" fontId="8" fillId="0" borderId="9" xfId="0" applyFont="1" applyBorder="1" applyAlignment="1">
      <alignment horizontal="left" vertical="center"/>
    </xf>
    <xf numFmtId="0" fontId="8" fillId="0" borderId="6" xfId="0" applyFont="1" applyBorder="1" applyAlignment="1">
      <alignment horizontal="left" vertical="center"/>
    </xf>
    <xf numFmtId="0" fontId="14" fillId="0" borderId="35" xfId="0" applyFont="1" applyBorder="1" applyAlignment="1">
      <alignment horizontal="right" vertical="center"/>
    </xf>
    <xf numFmtId="0" fontId="14" fillId="0" borderId="36" xfId="0" applyFont="1" applyBorder="1" applyAlignment="1">
      <alignment horizontal="right" vertical="center"/>
    </xf>
    <xf numFmtId="0" fontId="32" fillId="0" borderId="12" xfId="0" applyFont="1" applyBorder="1" applyAlignment="1">
      <alignment horizontal="right" vertical="center"/>
    </xf>
    <xf numFmtId="0" fontId="32" fillId="0" borderId="7" xfId="0" applyFont="1" applyBorder="1" applyAlignment="1">
      <alignment horizontal="right" vertical="center"/>
    </xf>
    <xf numFmtId="0" fontId="14" fillId="0" borderId="11" xfId="0" applyFont="1" applyBorder="1" applyAlignment="1">
      <alignment horizontal="right" vertical="center"/>
    </xf>
    <xf numFmtId="0" fontId="14" fillId="0" borderId="5" xfId="0" applyFont="1" applyBorder="1" applyAlignment="1">
      <alignment horizontal="right" vertical="center"/>
    </xf>
    <xf numFmtId="0" fontId="16" fillId="0" borderId="38" xfId="0" applyFont="1" applyBorder="1" applyAlignment="1">
      <alignment horizontal="center" vertical="center" wrapText="1"/>
    </xf>
    <xf numFmtId="0" fontId="16" fillId="0" borderId="19" xfId="0" applyFont="1" applyBorder="1" applyAlignment="1">
      <alignment horizontal="center" vertical="center"/>
    </xf>
    <xf numFmtId="0" fontId="33" fillId="0" borderId="1" xfId="0" applyFont="1" applyBorder="1" applyAlignment="1">
      <alignment horizontal="center" vertical="center"/>
    </xf>
    <xf numFmtId="0" fontId="1" fillId="0" borderId="1" xfId="0" applyFont="1" applyBorder="1" applyAlignment="1">
      <alignment horizontal="left" vertical="center" wrapText="1"/>
    </xf>
    <xf numFmtId="0" fontId="35" fillId="9" borderId="0" xfId="0" applyFont="1" applyFill="1" applyAlignment="1">
      <alignment horizontal="center" vertical="center"/>
    </xf>
    <xf numFmtId="0" fontId="6" fillId="0" borderId="1" xfId="0" applyFont="1" applyBorder="1" applyAlignment="1">
      <alignment horizontal="center" vertical="center" wrapText="1"/>
    </xf>
    <xf numFmtId="0" fontId="2" fillId="2" borderId="1" xfId="0" applyFont="1" applyFill="1" applyBorder="1" applyAlignment="1">
      <alignment horizontal="center" vertical="center"/>
    </xf>
    <xf numFmtId="0" fontId="1" fillId="0" borderId="0" xfId="0" applyFont="1" applyAlignment="1">
      <alignment horizontal="left" vertical="center"/>
    </xf>
    <xf numFmtId="0" fontId="10" fillId="3" borderId="4" xfId="0" applyFont="1" applyFill="1" applyBorder="1" applyAlignment="1">
      <alignment horizontal="center"/>
    </xf>
    <xf numFmtId="0" fontId="10" fillId="3" borderId="1" xfId="0" applyFont="1" applyFill="1" applyBorder="1" applyAlignment="1">
      <alignment horizontal="center"/>
    </xf>
  </cellXfs>
  <cellStyles count="3">
    <cellStyle name="Hyperlink" xfId="2" builtinId="8"/>
    <cellStyle name="Normal" xfId="0" builtinId="0"/>
    <cellStyle name="Percent" xfId="1" builtinId="5"/>
  </cellStyles>
  <dxfs count="4">
    <dxf>
      <font>
        <color rgb="FFFF0000"/>
      </font>
      <fill>
        <patternFill patternType="none">
          <bgColor auto="1"/>
        </patternFill>
      </fill>
    </dxf>
    <dxf>
      <font>
        <color rgb="FFFF0000"/>
      </font>
    </dxf>
    <dxf>
      <font>
        <color rgb="FFFF0000"/>
      </font>
      <fill>
        <patternFill patternType="none">
          <bgColor auto="1"/>
        </patternFill>
      </fill>
    </dxf>
    <dxf>
      <font>
        <color rgb="FFFF0000"/>
      </font>
    </dxf>
  </dxfs>
  <tableStyles count="0" defaultTableStyle="TableStyleMedium2" defaultPivotStyle="PivotStyleLight16"/>
  <colors>
    <mruColors>
      <color rgb="FFFA91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1512405</xdr:colOff>
      <xdr:row>23</xdr:row>
      <xdr:rowOff>18966</xdr:rowOff>
    </xdr:from>
    <xdr:to>
      <xdr:col>7</xdr:col>
      <xdr:colOff>2350605</xdr:colOff>
      <xdr:row>27</xdr:row>
      <xdr:rowOff>7370</xdr:rowOff>
    </xdr:to>
    <xdr:pic>
      <xdr:nvPicPr>
        <xdr:cNvPr id="3" name="Picture 8" descr="A picture containing text&#10;&#10;Description automatically generated">
          <a:extLst>
            <a:ext uri="{FF2B5EF4-FFF2-40B4-BE49-F238E27FC236}">
              <a16:creationId xmlns:a16="http://schemas.microsoft.com/office/drawing/2014/main" id="{8A766B9B-F089-42FC-BA09-992BF6862B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6231" y="6910096"/>
          <a:ext cx="838200" cy="725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1306581</xdr:colOff>
      <xdr:row>22</xdr:row>
      <xdr:rowOff>111402</xdr:rowOff>
    </xdr:from>
    <xdr:to>
      <xdr:col>8</xdr:col>
      <xdr:colOff>948599</xdr:colOff>
      <xdr:row>26</xdr:row>
      <xdr:rowOff>80674</xdr:rowOff>
    </xdr:to>
    <xdr:pic>
      <xdr:nvPicPr>
        <xdr:cNvPr id="6" name="Picture 5">
          <a:extLst>
            <a:ext uri="{FF2B5EF4-FFF2-40B4-BE49-F238E27FC236}">
              <a16:creationId xmlns:a16="http://schemas.microsoft.com/office/drawing/2014/main" id="{6D1EDE56-EC76-97B0-89B3-4001AF39BC74}"/>
            </a:ext>
          </a:extLst>
        </xdr:cNvPr>
        <xdr:cNvPicPr>
          <a:picLocks noChangeAspect="1"/>
        </xdr:cNvPicPr>
      </xdr:nvPicPr>
      <xdr:blipFill>
        <a:blip xmlns:r="http://schemas.openxmlformats.org/officeDocument/2006/relationships" r:embed="rId2"/>
        <a:stretch>
          <a:fillRect/>
        </a:stretch>
      </xdr:blipFill>
      <xdr:spPr>
        <a:xfrm>
          <a:off x="9212331" y="4531002"/>
          <a:ext cx="1007903" cy="733177"/>
        </a:xfrm>
        <a:prstGeom prst="rect">
          <a:avLst/>
        </a:prstGeom>
      </xdr:spPr>
    </xdr:pic>
    <xdr:clientData/>
  </xdr:twoCellAnchor>
  <xdr:twoCellAnchor editAs="oneCell">
    <xdr:from>
      <xdr:col>9</xdr:col>
      <xdr:colOff>209551</xdr:colOff>
      <xdr:row>22</xdr:row>
      <xdr:rowOff>9525</xdr:rowOff>
    </xdr:from>
    <xdr:to>
      <xdr:col>10</xdr:col>
      <xdr:colOff>398160</xdr:colOff>
      <xdr:row>26</xdr:row>
      <xdr:rowOff>133211</xdr:rowOff>
    </xdr:to>
    <xdr:pic>
      <xdr:nvPicPr>
        <xdr:cNvPr id="2" name="Picture 1">
          <a:extLst>
            <a:ext uri="{FF2B5EF4-FFF2-40B4-BE49-F238E27FC236}">
              <a16:creationId xmlns:a16="http://schemas.microsoft.com/office/drawing/2014/main" id="{B7DD666A-8F68-E74C-1AAC-DCB76CF31E1F}"/>
            </a:ext>
          </a:extLst>
        </xdr:cNvPr>
        <xdr:cNvPicPr>
          <a:picLocks noChangeAspect="1"/>
        </xdr:cNvPicPr>
      </xdr:nvPicPr>
      <xdr:blipFill>
        <a:blip xmlns:r="http://schemas.openxmlformats.org/officeDocument/2006/relationships" r:embed="rId3"/>
        <a:stretch>
          <a:fillRect/>
        </a:stretch>
      </xdr:blipFill>
      <xdr:spPr>
        <a:xfrm>
          <a:off x="10458451" y="5105400"/>
          <a:ext cx="1150634" cy="8856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1512405</xdr:colOff>
      <xdr:row>23</xdr:row>
      <xdr:rowOff>18966</xdr:rowOff>
    </xdr:from>
    <xdr:to>
      <xdr:col>7</xdr:col>
      <xdr:colOff>2350605</xdr:colOff>
      <xdr:row>27</xdr:row>
      <xdr:rowOff>7370</xdr:rowOff>
    </xdr:to>
    <xdr:pic>
      <xdr:nvPicPr>
        <xdr:cNvPr id="2" name="Picture 8" descr="A picture containing text&#10;&#10;Description automatically generated">
          <a:extLst>
            <a:ext uri="{FF2B5EF4-FFF2-40B4-BE49-F238E27FC236}">
              <a16:creationId xmlns:a16="http://schemas.microsoft.com/office/drawing/2014/main" id="{399EA049-3834-43B8-8EE8-7A76330F4C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84805" y="5305341"/>
          <a:ext cx="0" cy="750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1306581</xdr:colOff>
      <xdr:row>22</xdr:row>
      <xdr:rowOff>111402</xdr:rowOff>
    </xdr:from>
    <xdr:to>
      <xdr:col>8</xdr:col>
      <xdr:colOff>948599</xdr:colOff>
      <xdr:row>26</xdr:row>
      <xdr:rowOff>80674</xdr:rowOff>
    </xdr:to>
    <xdr:pic>
      <xdr:nvPicPr>
        <xdr:cNvPr id="3" name="Picture 2">
          <a:extLst>
            <a:ext uri="{FF2B5EF4-FFF2-40B4-BE49-F238E27FC236}">
              <a16:creationId xmlns:a16="http://schemas.microsoft.com/office/drawing/2014/main" id="{F719563C-50DF-448C-B258-A511D5029F9D}"/>
            </a:ext>
          </a:extLst>
        </xdr:cNvPr>
        <xdr:cNvPicPr>
          <a:picLocks noChangeAspect="1"/>
        </xdr:cNvPicPr>
      </xdr:nvPicPr>
      <xdr:blipFill>
        <a:blip xmlns:r="http://schemas.openxmlformats.org/officeDocument/2006/relationships" r:embed="rId2"/>
        <a:stretch>
          <a:fillRect/>
        </a:stretch>
      </xdr:blipFill>
      <xdr:spPr>
        <a:xfrm>
          <a:off x="9212331" y="5207277"/>
          <a:ext cx="1023143" cy="731272"/>
        </a:xfrm>
        <a:prstGeom prst="rect">
          <a:avLst/>
        </a:prstGeom>
      </xdr:spPr>
    </xdr:pic>
    <xdr:clientData/>
  </xdr:twoCellAnchor>
  <xdr:twoCellAnchor editAs="oneCell">
    <xdr:from>
      <xdr:col>9</xdr:col>
      <xdr:colOff>133350</xdr:colOff>
      <xdr:row>22</xdr:row>
      <xdr:rowOff>19050</xdr:rowOff>
    </xdr:from>
    <xdr:to>
      <xdr:col>10</xdr:col>
      <xdr:colOff>321959</xdr:colOff>
      <xdr:row>26</xdr:row>
      <xdr:rowOff>142736</xdr:rowOff>
    </xdr:to>
    <xdr:pic>
      <xdr:nvPicPr>
        <xdr:cNvPr id="4" name="Picture 3">
          <a:extLst>
            <a:ext uri="{FF2B5EF4-FFF2-40B4-BE49-F238E27FC236}">
              <a16:creationId xmlns:a16="http://schemas.microsoft.com/office/drawing/2014/main" id="{092FAF67-19C3-4D41-8305-E8964D05C09C}"/>
            </a:ext>
          </a:extLst>
        </xdr:cNvPr>
        <xdr:cNvPicPr>
          <a:picLocks noChangeAspect="1"/>
        </xdr:cNvPicPr>
      </xdr:nvPicPr>
      <xdr:blipFill>
        <a:blip xmlns:r="http://schemas.openxmlformats.org/officeDocument/2006/relationships" r:embed="rId3"/>
        <a:stretch>
          <a:fillRect/>
        </a:stretch>
      </xdr:blipFill>
      <xdr:spPr>
        <a:xfrm>
          <a:off x="10382250" y="5114925"/>
          <a:ext cx="1150634" cy="88568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platinumholdings.com.bh/"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platinumholdings.com.bh/"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support@platinumholdings.com.bh" TargetMode="External"/><Relationship Id="rId2" Type="http://schemas.openxmlformats.org/officeDocument/2006/relationships/hyperlink" Target="mailto:ebin.chacko@platinumholdings.com.bh" TargetMode="External"/><Relationship Id="rId1" Type="http://schemas.openxmlformats.org/officeDocument/2006/relationships/hyperlink" Target="mailto:stanley.vaz@platinumholdings.com.bh" TargetMode="External"/><Relationship Id="rId5" Type="http://schemas.openxmlformats.org/officeDocument/2006/relationships/hyperlink" Target="mailto:vm.sundar@platinumholdings.com.bh" TargetMode="External"/><Relationship Id="rId4" Type="http://schemas.openxmlformats.org/officeDocument/2006/relationships/hyperlink" Target="mailto:abhi.kore@platinumholdings.com.bh"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mes1@ameswll.com" TargetMode="External"/><Relationship Id="rId3" Type="http://schemas.openxmlformats.org/officeDocument/2006/relationships/hyperlink" Target="mailto:hs@almadartrading.com" TargetMode="External"/><Relationship Id="rId7" Type="http://schemas.openxmlformats.org/officeDocument/2006/relationships/hyperlink" Target="mailto:info@omnibahrain.com" TargetMode="External"/><Relationship Id="rId12" Type="http://schemas.openxmlformats.org/officeDocument/2006/relationships/printerSettings" Target="../printerSettings/printerSettings3.bin"/><Relationship Id="rId2" Type="http://schemas.openxmlformats.org/officeDocument/2006/relationships/hyperlink" Target="mailto:hs@almadartrading.com" TargetMode="External"/><Relationship Id="rId1" Type="http://schemas.openxmlformats.org/officeDocument/2006/relationships/hyperlink" Target="mailto:jain.xavier2@ttsjv.com" TargetMode="External"/><Relationship Id="rId6" Type="http://schemas.openxmlformats.org/officeDocument/2006/relationships/hyperlink" Target="mailto:YusufHE@works.gov.bh" TargetMode="External"/><Relationship Id="rId11" Type="http://schemas.openxmlformats.org/officeDocument/2006/relationships/hyperlink" Target="mailto:ravi@jahecon.com" TargetMode="External"/><Relationship Id="rId5" Type="http://schemas.openxmlformats.org/officeDocument/2006/relationships/hyperlink" Target="mailto:info@voltcube.me" TargetMode="External"/><Relationship Id="rId10" Type="http://schemas.openxmlformats.org/officeDocument/2006/relationships/hyperlink" Target="mailto:santhosh.k@abuobaidgroup.com" TargetMode="External"/><Relationship Id="rId4" Type="http://schemas.openxmlformats.org/officeDocument/2006/relationships/hyperlink" Target="mailto:salesindustry3@syscon.bh" TargetMode="External"/><Relationship Id="rId9" Type="http://schemas.openxmlformats.org/officeDocument/2006/relationships/hyperlink" Target="mailto:vm.sundar@platinumholdings.com.b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sheetPr>
  <dimension ref="A1:N45"/>
  <sheetViews>
    <sheetView showGridLines="0" topLeftCell="A9" zoomScaleNormal="100" workbookViewId="0">
      <selection activeCell="B23" sqref="B23"/>
    </sheetView>
  </sheetViews>
  <sheetFormatPr defaultColWidth="14.44140625" defaultRowHeight="15" customHeight="1"/>
  <cols>
    <col min="1" max="1" width="7" style="115" customWidth="1"/>
    <col min="2" max="2" width="40" style="115" customWidth="1"/>
    <col min="3" max="3" width="22.109375" style="115" customWidth="1"/>
    <col min="4" max="4" width="16.88671875" style="115" customWidth="1"/>
    <col min="5" max="5" width="18.33203125" style="115" customWidth="1"/>
    <col min="6" max="6" width="7.44140625" style="115" customWidth="1"/>
    <col min="7" max="7" width="6.88671875" style="115" bestFit="1" customWidth="1"/>
    <col min="8" max="8" width="20.6640625" style="115" customWidth="1"/>
    <col min="9" max="13" width="14.44140625" style="115"/>
    <col min="14" max="14" width="7.6640625" style="115" customWidth="1"/>
    <col min="15" max="16384" width="14.44140625" style="115"/>
  </cols>
  <sheetData>
    <row r="1" spans="1:14" ht="24" customHeight="1">
      <c r="D1" s="212" t="s">
        <v>0</v>
      </c>
      <c r="E1" s="212"/>
      <c r="F1" s="126"/>
      <c r="N1" s="126"/>
    </row>
    <row r="2" spans="1:14" ht="13.2">
      <c r="A2" s="115" t="s">
        <v>1</v>
      </c>
      <c r="D2" s="212"/>
      <c r="E2" s="212"/>
      <c r="F2" s="126"/>
      <c r="N2" s="126"/>
    </row>
    <row r="3" spans="1:14" ht="15" customHeight="1">
      <c r="A3" s="116" t="str">
        <f>VLOOKUP('Customer Costing'!D4,'Customer Database'!A:B,2,0)&amp;" "&amp;'Customer Costing'!D4</f>
        <v>Salutation Choose Contact Person</v>
      </c>
      <c r="B3" s="116"/>
      <c r="D3" s="118" t="s">
        <v>2</v>
      </c>
      <c r="E3" s="117">
        <f ca="1">'Customer Costing'!B2</f>
        <v>46097</v>
      </c>
      <c r="F3" s="126"/>
      <c r="N3" s="126"/>
    </row>
    <row r="4" spans="1:14" ht="13.2">
      <c r="A4" s="116" t="str">
        <f>IFERROR(VLOOKUP('Customer Costing'!D4,'Customer Database'!A:F,6,0), "Not Found")</f>
        <v>Business Account Name</v>
      </c>
      <c r="B4" s="116"/>
      <c r="D4" s="118" t="s">
        <v>3</v>
      </c>
      <c r="E4" s="118">
        <f>'Customer Costing'!D3</f>
        <v>0</v>
      </c>
      <c r="F4" s="126"/>
      <c r="G4" s="216" t="s">
        <v>4</v>
      </c>
      <c r="H4" s="216"/>
      <c r="I4" s="216"/>
      <c r="J4" s="216"/>
      <c r="K4" s="216"/>
      <c r="L4" s="216"/>
      <c r="M4" s="216"/>
      <c r="N4" s="126"/>
    </row>
    <row r="5" spans="1:14" ht="12.75" customHeight="1">
      <c r="A5" s="119" t="str">
        <f>IFERROR(VLOOKUP('Customer Costing'!D4,'Customer Database'!A:E,3,0), "Not Found")</f>
        <v>Phone</v>
      </c>
      <c r="B5" s="119"/>
      <c r="C5" s="116"/>
      <c r="D5" s="118" t="s">
        <v>5</v>
      </c>
      <c r="E5" s="117">
        <f ca="1">E3+30</f>
        <v>46127</v>
      </c>
      <c r="F5" s="126"/>
      <c r="G5" s="144" t="s">
        <v>6</v>
      </c>
      <c r="H5" s="134" t="s">
        <v>7</v>
      </c>
      <c r="I5" s="134"/>
      <c r="J5" s="134"/>
      <c r="K5" s="134"/>
      <c r="L5" s="134"/>
      <c r="M5" s="134"/>
      <c r="N5" s="126"/>
    </row>
    <row r="6" spans="1:14" ht="12.75" customHeight="1">
      <c r="A6" s="116" t="str">
        <f>IFERROR(VLOOKUP('Customer Costing'!D4,'Customer Database'!A:E,5,0), "Not Found")</f>
        <v>Address</v>
      </c>
      <c r="B6" s="116"/>
      <c r="C6" s="109"/>
      <c r="D6" s="118" t="s">
        <v>8</v>
      </c>
      <c r="E6" s="118" t="e">
        <f>VLOOKUP('Customer Costing'!B4,Code!G:K,5,0)</f>
        <v>#N/A</v>
      </c>
      <c r="F6" s="126"/>
      <c r="G6" s="144" t="s">
        <v>6</v>
      </c>
      <c r="H6" s="118" t="s">
        <v>9</v>
      </c>
      <c r="I6" s="118" t="str">
        <f>'Customer Costing'!D5</f>
        <v>Select payment terms</v>
      </c>
      <c r="J6" s="118"/>
      <c r="K6" s="118"/>
      <c r="L6" s="118"/>
      <c r="M6" s="134"/>
      <c r="N6" s="126"/>
    </row>
    <row r="7" spans="1:14" ht="12.75" customHeight="1">
      <c r="A7" s="116"/>
      <c r="B7" s="116"/>
      <c r="C7" s="120"/>
      <c r="D7" s="118" t="s">
        <v>10</v>
      </c>
      <c r="E7" s="118" t="str">
        <f>'Customer Costing'!B3</f>
        <v>Quote Prepared By</v>
      </c>
      <c r="F7" s="126"/>
      <c r="G7" s="144" t="s">
        <v>6</v>
      </c>
      <c r="H7" s="118" t="s">
        <v>11</v>
      </c>
      <c r="I7" s="118" t="str">
        <f>IF('Customer Costing'!F4="General",Code!D15,IF('Customer Costing'!F4="spareparts",Code!D16,IF('Customer Costing'!F4="items+spareparts",Code!D15&amp;". "&amp;Code!D16,"Please Select Est. Delivery in costing")))</f>
        <v>Please Select Est. Delivery in costing</v>
      </c>
      <c r="J7" s="118"/>
      <c r="K7" s="118"/>
      <c r="L7" s="118"/>
      <c r="M7" s="134"/>
      <c r="N7" s="126"/>
    </row>
    <row r="8" spans="1:14" ht="12.75" customHeight="1">
      <c r="A8" s="160"/>
      <c r="B8" s="116"/>
      <c r="C8" s="120"/>
      <c r="F8" s="126"/>
      <c r="G8" s="144" t="s">
        <v>6</v>
      </c>
      <c r="H8" s="118" t="s">
        <v>12</v>
      </c>
      <c r="I8" s="118" t="s">
        <v>13</v>
      </c>
      <c r="J8" s="118"/>
      <c r="K8" s="118"/>
      <c r="L8" s="118"/>
      <c r="M8" s="134"/>
      <c r="N8" s="126"/>
    </row>
    <row r="9" spans="1:14" ht="12.75" customHeight="1">
      <c r="A9" s="121" t="s">
        <v>14</v>
      </c>
      <c r="B9" s="121"/>
      <c r="C9" s="121"/>
      <c r="F9" s="126"/>
      <c r="G9" s="144" t="s">
        <v>6</v>
      </c>
      <c r="H9" s="118" t="s">
        <v>15</v>
      </c>
      <c r="I9" s="118" t="str">
        <f>"Approx. "&amp;" "&amp;'Customer Costing'!F2&amp;"; exact period confirmed after order placement."</f>
        <v>Approx.  To be Known after order is placed; exact period confirmed after order placement.</v>
      </c>
      <c r="J9" s="118"/>
      <c r="K9" s="118"/>
      <c r="L9" s="118"/>
      <c r="M9" s="134"/>
      <c r="N9" s="126"/>
    </row>
    <row r="10" spans="1:14" ht="25.5" customHeight="1">
      <c r="A10" s="217" t="str">
        <f>"Your Reference"&amp;": "&amp;'Customer Costing'!D1</f>
        <v>Your Reference: [Input Manually]</v>
      </c>
      <c r="B10" s="217"/>
      <c r="C10" s="217"/>
      <c r="D10" s="217"/>
      <c r="E10" s="217"/>
      <c r="F10" s="126"/>
      <c r="G10" s="144" t="s">
        <v>6</v>
      </c>
      <c r="H10" s="118" t="s">
        <v>16</v>
      </c>
      <c r="I10" s="118" t="str">
        <f>'Customer Costing'!F3</f>
        <v>DAP Bahrain at your store or PH Trading</v>
      </c>
      <c r="J10" s="118"/>
      <c r="K10" s="118"/>
      <c r="L10" s="118"/>
      <c r="M10" s="134"/>
      <c r="N10" s="126"/>
    </row>
    <row r="11" spans="1:14" ht="12.75" customHeight="1">
      <c r="A11" s="213" t="s">
        <v>17</v>
      </c>
      <c r="B11" s="213"/>
      <c r="C11" s="213"/>
      <c r="D11" s="213"/>
      <c r="E11" s="213"/>
      <c r="F11" s="126"/>
      <c r="G11" s="144" t="s">
        <v>6</v>
      </c>
      <c r="H11" s="118" t="s">
        <v>18</v>
      </c>
      <c r="I11" s="118" t="str">
        <f>IF('Customer Costing'!H3="No","Excluded / not in our scope","Check Quotation for pricing")</f>
        <v>Excluded / not in our scope</v>
      </c>
      <c r="J11" s="134"/>
      <c r="K11" s="118"/>
      <c r="L11" s="118"/>
      <c r="M11" s="134"/>
      <c r="N11" s="126"/>
    </row>
    <row r="12" spans="1:14" ht="12.75" customHeight="1">
      <c r="A12" s="213"/>
      <c r="B12" s="213"/>
      <c r="C12" s="213"/>
      <c r="D12" s="213"/>
      <c r="E12" s="213"/>
      <c r="F12" s="126"/>
      <c r="G12" s="144" t="s">
        <v>6</v>
      </c>
      <c r="H12" s="176" t="s">
        <v>19</v>
      </c>
      <c r="I12" s="118" t="str">
        <f>IF('Customer Costing'!H4="No","Excluded / not in our scope","Check Quotation for pricing")</f>
        <v>Excluded / not in our scope</v>
      </c>
      <c r="J12" s="118"/>
      <c r="K12" s="134"/>
      <c r="L12" s="118"/>
      <c r="M12" s="134"/>
      <c r="N12" s="126"/>
    </row>
    <row r="13" spans="1:14" ht="12.75" customHeight="1">
      <c r="A13" s="213"/>
      <c r="B13" s="213"/>
      <c r="C13" s="213"/>
      <c r="D13" s="213"/>
      <c r="E13" s="213"/>
      <c r="F13" s="126"/>
      <c r="G13" s="144" t="s">
        <v>6</v>
      </c>
      <c r="H13" s="177" t="s">
        <v>20</v>
      </c>
      <c r="I13" s="118" t="str">
        <f>IF('Customer Costing'!H5="No","Excluded / not in our scope","Check Quotation for pricing")</f>
        <v>Excluded / not in our scope</v>
      </c>
      <c r="J13" s="118"/>
      <c r="K13" s="118"/>
      <c r="L13" s="118"/>
      <c r="M13" s="134"/>
      <c r="N13" s="126"/>
    </row>
    <row r="14" spans="1:14" ht="13.8">
      <c r="A14" s="213"/>
      <c r="B14" s="213"/>
      <c r="C14" s="213"/>
      <c r="D14" s="213"/>
      <c r="E14" s="213"/>
      <c r="F14" s="126"/>
      <c r="G14" s="144" t="s">
        <v>6</v>
      </c>
      <c r="H14" s="115" t="s">
        <v>21</v>
      </c>
      <c r="I14" s="118" t="str">
        <f>VLOOKUP('Customer Costing'!H1,Code!A40:B42,2,0)</f>
        <v xml:space="preserve">Additional charges applicable as per OEM terms </v>
      </c>
      <c r="J14" s="118"/>
      <c r="K14" s="118"/>
      <c r="L14" s="118"/>
      <c r="M14" s="134"/>
      <c r="N14" s="126"/>
    </row>
    <row r="15" spans="1:14" ht="13.8">
      <c r="A15" s="171"/>
      <c r="B15" s="171"/>
      <c r="C15" s="171"/>
      <c r="D15" s="171"/>
      <c r="E15" s="171"/>
      <c r="F15" s="126"/>
      <c r="G15" s="144" t="s">
        <v>6</v>
      </c>
      <c r="H15" s="115" t="s">
        <v>22</v>
      </c>
      <c r="I15" s="134" t="str">
        <f>VLOOKUP('Customer Costing'!H1,Code!A40:B42,2,0)</f>
        <v xml:space="preserve">Additional charges applicable as per OEM terms </v>
      </c>
      <c r="J15" s="134"/>
      <c r="K15" s="118"/>
      <c r="L15" s="118"/>
      <c r="M15" s="134"/>
      <c r="N15" s="126"/>
    </row>
    <row r="16" spans="1:14" ht="13.8">
      <c r="A16" s="1" t="s">
        <v>23</v>
      </c>
      <c r="B16" s="1" t="s">
        <v>24</v>
      </c>
      <c r="C16" s="2" t="s">
        <v>25</v>
      </c>
      <c r="D16" s="2" t="s">
        <v>26</v>
      </c>
      <c r="E16" s="2" t="s">
        <v>27</v>
      </c>
      <c r="F16" s="126"/>
      <c r="G16" s="144" t="s">
        <v>6</v>
      </c>
      <c r="H16" s="134" t="s">
        <v>28</v>
      </c>
      <c r="I16" s="134" t="str">
        <f>VLOOKUP('Customer Costing'!F5,Code!C23:D30,2,0)</f>
        <v>Select Country</v>
      </c>
      <c r="J16" s="134"/>
      <c r="K16" s="134"/>
      <c r="L16" s="134"/>
      <c r="M16" s="134"/>
      <c r="N16" s="126"/>
    </row>
    <row r="17" spans="1:14" ht="39.6">
      <c r="A17" s="122">
        <v>1</v>
      </c>
      <c r="B17" s="122" t="str">
        <f>'Customer Costing'!C8&amp;CHAR(10)&amp;'Customer Costing'!C9&amp;CHAR(10)&amp;'Customer Costing'!C10</f>
        <v>Electronics Micropilot FMR6x
Model no.: XPF0038-1014/0
(XPF0038-1)</v>
      </c>
      <c r="C17" s="110">
        <f>'Customer Costing'!$C$30</f>
        <v>692</v>
      </c>
      <c r="D17" s="123">
        <f>'Customer Costing'!C$11</f>
        <v>1</v>
      </c>
      <c r="E17" s="111">
        <f>C17*D17</f>
        <v>692</v>
      </c>
      <c r="F17" s="126"/>
      <c r="G17" s="144" t="s">
        <v>6</v>
      </c>
      <c r="H17" s="134" t="s">
        <v>29</v>
      </c>
      <c r="I17" s="134" t="str">
        <f>VLOOKUP('Customer Costing'!H1,Code!A40:B42,2,0)</f>
        <v xml:space="preserve">Additional charges applicable as per OEM terms </v>
      </c>
      <c r="J17" s="134"/>
      <c r="K17" s="134"/>
      <c r="L17" s="134"/>
      <c r="M17" s="134"/>
      <c r="N17" s="126"/>
    </row>
    <row r="18" spans="1:14" ht="39.6">
      <c r="A18" s="122">
        <v>2</v>
      </c>
      <c r="B18" s="122" t="str">
        <f>'Customer Costing'!D8&amp;CHAR(10)&amp;'Customer Costing'!D9&amp;CHAR(10)&amp;'Customer Costing'!D10</f>
        <v xml:space="preserve">I/O mod.Level,2-wr.4-20mA,HART,Ex,LP,V3
Model no.: 71364026
 [Specifiation 2]    </v>
      </c>
      <c r="C18" s="110">
        <f>'Customer Costing'!$D$30</f>
        <v>227</v>
      </c>
      <c r="D18" s="123">
        <f>'Customer Costing'!D$11</f>
        <v>1</v>
      </c>
      <c r="E18" s="111">
        <f t="shared" ref="E18:E25" si="0">C18*D18</f>
        <v>227</v>
      </c>
      <c r="F18" s="126"/>
      <c r="G18" s="144" t="s">
        <v>6</v>
      </c>
      <c r="H18" s="177" t="s">
        <v>30</v>
      </c>
      <c r="J18" s="134"/>
      <c r="K18" s="134"/>
      <c r="L18" s="134"/>
      <c r="M18" s="134"/>
      <c r="N18" s="126"/>
    </row>
    <row r="19" spans="1:14" ht="15" customHeight="1">
      <c r="A19" s="122">
        <v>3</v>
      </c>
      <c r="B19" s="122" t="str">
        <f>'Customer Costing'!E8&amp;CHAR(10)&amp;'Customer Costing'!E9&amp;CHAR(10)&amp;'Customer Costing'!E10</f>
        <v>Remote Display FHX50B
Model no.: FHX50B-1P79/0
(FHX50B-BGEB3+Z1)</v>
      </c>
      <c r="C19" s="110">
        <f>'Customer Costing'!$E$30</f>
        <v>333</v>
      </c>
      <c r="D19" s="123">
        <f>'Customer Costing'!E$11</f>
        <v>1</v>
      </c>
      <c r="E19" s="111">
        <f t="shared" si="0"/>
        <v>333</v>
      </c>
      <c r="F19" s="126"/>
      <c r="G19" s="144" t="s">
        <v>6</v>
      </c>
      <c r="H19" s="118" t="s">
        <v>31</v>
      </c>
      <c r="I19" s="134"/>
      <c r="J19" s="134"/>
      <c r="K19" s="134"/>
      <c r="L19" s="134"/>
      <c r="M19" s="134"/>
      <c r="N19" s="126"/>
    </row>
    <row r="20" spans="1:14" ht="24" customHeight="1">
      <c r="A20" s="122">
        <v>4</v>
      </c>
      <c r="B20" s="122" t="str">
        <f>'Customer Costing'!F8&amp;CHAR(10)&amp;'Customer Costing'!F9&amp;CHAR(10)&amp;'Customer Costing'!F10</f>
        <v xml:space="preserve"> [Product 4]     
 [Specifiation 4]    </v>
      </c>
      <c r="C20" s="110">
        <f>'Customer Costing'!$F$30</f>
        <v>0</v>
      </c>
      <c r="D20" s="123">
        <f>'Customer Costing'!F$11</f>
        <v>0</v>
      </c>
      <c r="E20" s="111">
        <f t="shared" si="0"/>
        <v>0</v>
      </c>
      <c r="F20" s="126"/>
      <c r="G20" s="144" t="s">
        <v>6</v>
      </c>
      <c r="H20" s="213" t="s">
        <v>32</v>
      </c>
      <c r="I20" s="213"/>
      <c r="J20" s="213"/>
      <c r="K20" s="213"/>
      <c r="L20" s="213"/>
      <c r="M20" s="134"/>
      <c r="N20" s="126"/>
    </row>
    <row r="21" spans="1:14" ht="39.6">
      <c r="A21" s="122">
        <v>5</v>
      </c>
      <c r="B21" s="122" t="str">
        <f>'Customer Costing'!G8&amp;CHAR(10)&amp;'Customer Costing'!G9&amp;CHAR(10)&amp;'Customer Costing'!G10</f>
        <v xml:space="preserve"> [Product 5]     
 [Specifiation 5]    </v>
      </c>
      <c r="C21" s="110">
        <f>'Customer Costing'!$G$30</f>
        <v>0</v>
      </c>
      <c r="D21" s="123">
        <f>'Customer Costing'!G$11</f>
        <v>0</v>
      </c>
      <c r="E21" s="111">
        <f t="shared" si="0"/>
        <v>0</v>
      </c>
      <c r="F21" s="126"/>
      <c r="G21" s="144"/>
      <c r="H21" s="213"/>
      <c r="I21" s="213"/>
      <c r="J21" s="213"/>
      <c r="K21" s="213"/>
      <c r="L21" s="213"/>
      <c r="M21" s="134"/>
      <c r="N21" s="126"/>
    </row>
    <row r="22" spans="1:14" ht="15" customHeight="1">
      <c r="A22" s="122">
        <v>6</v>
      </c>
      <c r="B22" s="122" t="str">
        <f>'Customer Costing'!H8&amp;CHAR(10)&amp;'Customer Costing'!H9&amp;CHAR(10)&amp;'Customer Costing'!H10</f>
        <v xml:space="preserve"> [Product 6]     
 [Specifiation 6]    </v>
      </c>
      <c r="C22" s="110">
        <f>'Customer Costing'!$H$30</f>
        <v>0</v>
      </c>
      <c r="D22" s="123">
        <f>'Customer Costing'!H$11</f>
        <v>0</v>
      </c>
      <c r="E22" s="111">
        <f t="shared" si="0"/>
        <v>0</v>
      </c>
      <c r="F22" s="126"/>
      <c r="G22" s="144"/>
      <c r="H22" s="134" t="s">
        <v>33</v>
      </c>
      <c r="I22" s="134"/>
      <c r="J22" s="134"/>
      <c r="K22" s="134"/>
      <c r="L22" s="134"/>
      <c r="M22" s="134"/>
      <c r="N22" s="126"/>
    </row>
    <row r="23" spans="1:14" ht="15" customHeight="1">
      <c r="A23" s="122">
        <v>7</v>
      </c>
      <c r="B23" s="122" t="str">
        <f>'Customer Costing'!I8&amp;CHAR(10)&amp;'Customer Costing'!I9&amp;CHAR(10)&amp;'Customer Costing'!I10</f>
        <v xml:space="preserve"> [Product 7]     
 [Model 7]     
 [Specifiation 7]    </v>
      </c>
      <c r="C23" s="110">
        <f>'Customer Costing'!$I$30</f>
        <v>0</v>
      </c>
      <c r="D23" s="123">
        <f>'Customer Costing'!I$11</f>
        <v>0</v>
      </c>
      <c r="E23" s="111">
        <f t="shared" ref="E23:E24" si="1">C23*D23</f>
        <v>0</v>
      </c>
      <c r="F23" s="126"/>
      <c r="G23" s="142"/>
      <c r="N23" s="126"/>
    </row>
    <row r="24" spans="1:14" ht="15" customHeight="1">
      <c r="A24" s="122">
        <v>8</v>
      </c>
      <c r="B24" s="122" t="str">
        <f>'Customer Costing'!J8&amp;CHAR(10)&amp;'Customer Costing'!J9&amp;CHAR(10)&amp;'Customer Costing'!J10</f>
        <v xml:space="preserve"> [Product 8]     
 [Model 8]     
 [Specifiation 8]    </v>
      </c>
      <c r="C24" s="110">
        <f>'Customer Costing'!$J$30</f>
        <v>0</v>
      </c>
      <c r="D24" s="123">
        <f>'Customer Costing'!J$11</f>
        <v>0</v>
      </c>
      <c r="E24" s="111">
        <f t="shared" si="1"/>
        <v>0</v>
      </c>
      <c r="F24" s="126"/>
      <c r="H24" s="177" t="s">
        <v>34</v>
      </c>
      <c r="N24" s="126"/>
    </row>
    <row r="25" spans="1:14" ht="15" customHeight="1">
      <c r="A25" s="122">
        <v>9</v>
      </c>
      <c r="B25" s="122" t="str">
        <f>'Customer Costing'!K8&amp;CHAR(10)&amp;'Customer Costing'!K9&amp;CHAR(10)&amp;'Customer Costing'!K10</f>
        <v xml:space="preserve"> [Product 9]     
 [Model 9]     
 [Specifiation 9]    </v>
      </c>
      <c r="C25" s="110">
        <f>'Customer Costing'!$K$30</f>
        <v>0</v>
      </c>
      <c r="D25" s="123">
        <f>'Customer Costing'!K$11</f>
        <v>0</v>
      </c>
      <c r="E25" s="111">
        <f t="shared" si="0"/>
        <v>0</v>
      </c>
      <c r="F25" s="126"/>
      <c r="H25" s="177" t="str">
        <f>E7</f>
        <v>Quote Prepared By</v>
      </c>
      <c r="N25" s="126"/>
    </row>
    <row r="26" spans="1:14" ht="15" customHeight="1">
      <c r="A26" s="122">
        <v>10</v>
      </c>
      <c r="B26" s="122" t="str">
        <f>'Customer Costing'!L8&amp;CHAR(10)&amp;'Customer Costing'!L9&amp;CHAR(10)&amp;'Customer Costing'!L10</f>
        <v xml:space="preserve"> [Product 10]     
 [Model 10]     
 [Specifiation 10]    </v>
      </c>
      <c r="C26" s="110">
        <f>'Customer Costing'!$L$30</f>
        <v>0</v>
      </c>
      <c r="D26" s="123">
        <f>'Customer Costing'!L$11</f>
        <v>0</v>
      </c>
      <c r="E26" s="111">
        <f>C26*D26</f>
        <v>0</v>
      </c>
      <c r="F26" s="126"/>
      <c r="H26" s="177" t="str">
        <f>VLOOKUP(H25,Code!A1:B7,2,0)</f>
        <v>Designation</v>
      </c>
      <c r="N26" s="126"/>
    </row>
    <row r="27" spans="1:14" ht="15" customHeight="1">
      <c r="A27" s="122">
        <v>11</v>
      </c>
      <c r="B27" s="122" t="str">
        <f>'Customer Costing'!M9&amp;CHAR(10)&amp;'Customer Costing'!M10&amp;CHAR(10)&amp;'Customer Costing'!M11</f>
        <v xml:space="preserve"> [Model 11]     
 [Specifiation 11]    
</v>
      </c>
      <c r="C27" s="110">
        <f>'Customer Costing'!$M$30</f>
        <v>0</v>
      </c>
      <c r="D27" s="123">
        <f>'Customer Costing'!M$11</f>
        <v>0</v>
      </c>
      <c r="E27" s="111">
        <f t="shared" ref="E27:E28" si="2">C27*D27</f>
        <v>0</v>
      </c>
      <c r="F27" s="126"/>
      <c r="H27" s="177" t="str">
        <f>"Mob: "&amp;VLOOKUP(H25,Code!A1:D8,3,0)</f>
        <v>Mob: Contact Number</v>
      </c>
      <c r="N27" s="126"/>
    </row>
    <row r="28" spans="1:14" ht="15" customHeight="1">
      <c r="A28" s="122">
        <v>12</v>
      </c>
      <c r="B28" s="122" t="str">
        <f>'Customer Costing'!N10&amp;CHAR(10)&amp;'Customer Costing'!N11&amp;CHAR(10)&amp;'Customer Costing'!N12</f>
        <v xml:space="preserve"> [Specifiation 12]    
</v>
      </c>
      <c r="C28" s="110">
        <f>'Customer Costing'!$N$30</f>
        <v>0</v>
      </c>
      <c r="D28" s="123">
        <f>'Customer Costing'!N$11</f>
        <v>0</v>
      </c>
      <c r="E28" s="111">
        <f t="shared" si="2"/>
        <v>0</v>
      </c>
      <c r="F28" s="126"/>
      <c r="H28" s="177" t="str">
        <f>"Email: "&amp;VLOOKUP(H25,Code!A1:D8,4,0)</f>
        <v>Email: Email</v>
      </c>
      <c r="N28" s="126"/>
    </row>
    <row r="29" spans="1:14" ht="13.2">
      <c r="B29" s="124" t="str">
        <f>'Customer Costing'!Q8&amp;CHAR(10)&amp;'Customer Costing'!Q9&amp;CHAR(10)&amp;'Customer Costing'!Q10</f>
        <v xml:space="preserve">
</v>
      </c>
      <c r="F29" s="126"/>
      <c r="H29" s="177" t="str">
        <f>'Customer Costing'!B1</f>
        <v>PH Trading WLL</v>
      </c>
      <c r="N29" s="126"/>
    </row>
    <row r="30" spans="1:14" ht="15" customHeight="1">
      <c r="B30" s="115" t="str">
        <f>'Customer Costing'!R8&amp;CHAR(10)&amp;'Customer Costing'!R9&amp;CHAR(10)&amp;'Customer Costing'!R10</f>
        <v xml:space="preserve">
</v>
      </c>
      <c r="F30" s="126"/>
      <c r="H30" s="160" t="s">
        <v>35</v>
      </c>
      <c r="N30" s="126"/>
    </row>
    <row r="31" spans="1:14" ht="15" customHeight="1">
      <c r="F31" s="126"/>
      <c r="N31" s="126"/>
    </row>
    <row r="32" spans="1:14" ht="15" customHeight="1">
      <c r="F32" s="126"/>
      <c r="N32" s="126"/>
    </row>
    <row r="33" spans="1:14" ht="13.2">
      <c r="D33" s="112" t="s">
        <v>36</v>
      </c>
      <c r="E33" s="111">
        <f>SUM(E17:E28)</f>
        <v>1252</v>
      </c>
      <c r="F33" s="126"/>
      <c r="N33" s="126"/>
    </row>
    <row r="34" spans="1:14" ht="15" customHeight="1">
      <c r="D34" s="112" t="s">
        <v>37</v>
      </c>
      <c r="E34" s="111">
        <v>0</v>
      </c>
      <c r="F34" s="126"/>
      <c r="N34" s="126"/>
    </row>
    <row r="35" spans="1:14" ht="15" customHeight="1">
      <c r="D35" s="112" t="s">
        <v>38</v>
      </c>
      <c r="E35" s="125">
        <f>(E33+E34)*0.1</f>
        <v>125.2</v>
      </c>
      <c r="F35" s="126"/>
      <c r="N35" s="126"/>
    </row>
    <row r="36" spans="1:14" ht="15" customHeight="1">
      <c r="D36" s="113" t="s">
        <v>39</v>
      </c>
      <c r="E36" s="114">
        <f>E33-E34+E35</f>
        <v>1377.2</v>
      </c>
      <c r="F36" s="126"/>
      <c r="N36" s="126"/>
    </row>
    <row r="37" spans="1:14" ht="15" customHeight="1">
      <c r="F37" s="126"/>
      <c r="N37" s="126"/>
    </row>
    <row r="38" spans="1:14" ht="15" customHeight="1">
      <c r="F38" s="126"/>
      <c r="N38" s="126"/>
    </row>
    <row r="39" spans="1:14" ht="15" customHeight="1">
      <c r="F39" s="126"/>
      <c r="N39" s="126"/>
    </row>
    <row r="40" spans="1:14" ht="27" customHeight="1">
      <c r="F40" s="126"/>
      <c r="H40" s="215" t="s">
        <v>40</v>
      </c>
      <c r="I40" s="215"/>
      <c r="J40" s="215"/>
      <c r="K40" s="215"/>
      <c r="L40" s="215"/>
      <c r="M40" s="215"/>
      <c r="N40" s="126"/>
    </row>
    <row r="41" spans="1:14" ht="32.25" customHeight="1">
      <c r="F41" s="126"/>
      <c r="G41" s="143"/>
      <c r="H41" s="215"/>
      <c r="I41" s="215"/>
      <c r="J41" s="215"/>
      <c r="K41" s="215"/>
      <c r="L41" s="215"/>
      <c r="M41" s="215"/>
      <c r="N41" s="126"/>
    </row>
    <row r="42" spans="1:14" ht="15" customHeight="1">
      <c r="F42" s="126"/>
      <c r="G42" s="143"/>
      <c r="H42" s="215"/>
      <c r="I42" s="215"/>
      <c r="J42" s="215"/>
      <c r="K42" s="215"/>
      <c r="L42" s="215"/>
      <c r="M42" s="215"/>
      <c r="N42" s="126"/>
    </row>
    <row r="43" spans="1:14" ht="15" customHeight="1">
      <c r="A43" s="126"/>
      <c r="B43" s="126"/>
      <c r="C43" s="126"/>
      <c r="D43" s="126"/>
      <c r="E43" s="126"/>
      <c r="F43" s="126"/>
      <c r="G43" s="126"/>
      <c r="H43" s="126"/>
      <c r="I43" s="126"/>
      <c r="J43" s="126"/>
      <c r="K43" s="126"/>
      <c r="L43" s="126"/>
      <c r="M43" s="126"/>
      <c r="N43" s="126"/>
    </row>
    <row r="44" spans="1:14" ht="15" customHeight="1">
      <c r="A44" s="214" t="s">
        <v>41</v>
      </c>
      <c r="B44" s="214"/>
      <c r="C44" s="214"/>
      <c r="D44" s="214"/>
      <c r="E44" s="214"/>
      <c r="G44" s="214" t="s">
        <v>42</v>
      </c>
      <c r="H44" s="214"/>
      <c r="I44" s="214"/>
      <c r="J44" s="214"/>
      <c r="K44" s="214"/>
      <c r="L44" s="214"/>
      <c r="M44" s="214"/>
    </row>
    <row r="45" spans="1:14" ht="15" customHeight="1">
      <c r="A45" s="214"/>
      <c r="B45" s="214"/>
      <c r="C45" s="214"/>
      <c r="D45" s="214"/>
      <c r="E45" s="214"/>
      <c r="G45" s="214"/>
      <c r="H45" s="214"/>
      <c r="I45" s="214"/>
      <c r="J45" s="214"/>
      <c r="K45" s="214"/>
      <c r="L45" s="214"/>
      <c r="M45" s="214"/>
    </row>
  </sheetData>
  <mergeCells count="8">
    <mergeCell ref="D1:E2"/>
    <mergeCell ref="H20:L21"/>
    <mergeCell ref="A44:E45"/>
    <mergeCell ref="G44:M45"/>
    <mergeCell ref="H40:M42"/>
    <mergeCell ref="G4:M4"/>
    <mergeCell ref="A10:E10"/>
    <mergeCell ref="A11:E14"/>
  </mergeCells>
  <conditionalFormatting sqref="I5:I17 I19 I22">
    <cfRule type="containsText" dxfId="3" priority="1" operator="containsText" text="Select">
      <formula>NOT(ISERROR(SEARCH("Select",I5)))</formula>
    </cfRule>
  </conditionalFormatting>
  <conditionalFormatting sqref="I7">
    <cfRule type="containsText" dxfId="2" priority="2" operator="containsText" text="Please">
      <formula>NOT(ISERROR(SEARCH("Please",I7)))</formula>
    </cfRule>
  </conditionalFormatting>
  <hyperlinks>
    <hyperlink ref="H30" r:id="rId1" xr:uid="{26D1296D-05A4-4A90-9053-14B0470A01EE}"/>
  </hyperlinks>
  <pageMargins left="0.7" right="0.7" top="0.01"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ECC4C-64A4-427D-819E-A5A0BA8F3F64}">
  <sheetPr codeName="Sheet2"/>
  <dimension ref="A1:AY68"/>
  <sheetViews>
    <sheetView tabSelected="1" topLeftCell="A12" zoomScaleNormal="100" workbookViewId="0">
      <selection activeCell="F38" sqref="F38"/>
    </sheetView>
  </sheetViews>
  <sheetFormatPr defaultColWidth="9.109375" defaultRowHeight="12.9" customHeight="1"/>
  <cols>
    <col min="1" max="1" width="12.33203125" style="26" bestFit="1" customWidth="1"/>
    <col min="2" max="2" width="18.109375" style="26" bestFit="1" customWidth="1"/>
    <col min="3" max="7" width="16.33203125" style="26" bestFit="1" customWidth="1"/>
    <col min="8" max="8" width="18.33203125" style="26" bestFit="1" customWidth="1"/>
    <col min="9" max="10" width="16.33203125" style="26" bestFit="1" customWidth="1"/>
    <col min="11" max="11" width="16.33203125" style="27" bestFit="1" customWidth="1"/>
    <col min="12" max="14" width="17.44140625" style="26" bestFit="1" customWidth="1"/>
    <col min="15" max="15" width="15.5546875" style="26" bestFit="1" customWidth="1"/>
    <col min="16" max="16" width="12.5546875" style="26" bestFit="1" customWidth="1"/>
    <col min="17" max="17" width="9.109375" style="26"/>
    <col min="18" max="18" width="10.88671875" style="26" customWidth="1"/>
    <col min="19" max="19" width="15.109375" style="26" bestFit="1" customWidth="1"/>
    <col min="20" max="20" width="9.109375" style="26"/>
    <col min="21" max="21" width="10.88671875" style="26" customWidth="1"/>
    <col min="22" max="22" width="14.5546875" style="26" customWidth="1"/>
    <col min="23" max="23" width="9.109375" style="26"/>
    <col min="24" max="24" width="10.88671875" style="26" customWidth="1"/>
    <col min="25" max="25" width="14" style="26" customWidth="1"/>
    <col min="26" max="26" width="9.109375" style="26"/>
    <col min="27" max="27" width="10.88671875" style="26" customWidth="1"/>
    <col min="28" max="28" width="15.109375" style="26" bestFit="1" customWidth="1"/>
    <col min="29" max="29" width="9.109375" style="26"/>
    <col min="30" max="30" width="11.33203125" style="26" customWidth="1"/>
    <col min="31" max="31" width="10.88671875" style="26" bestFit="1" customWidth="1"/>
    <col min="32" max="32" width="9.109375" style="26"/>
    <col min="33" max="33" width="18.5546875" style="26" customWidth="1"/>
    <col min="34" max="34" width="12.33203125" style="26" customWidth="1"/>
    <col min="35" max="35" width="9.109375" style="26"/>
    <col min="36" max="36" width="12.109375" style="26" customWidth="1"/>
    <col min="37" max="37" width="13.33203125" style="26" customWidth="1"/>
    <col min="38" max="39" width="9.109375" style="26"/>
    <col min="40" max="40" width="13.5546875" style="26" customWidth="1"/>
    <col min="41" max="41" width="9.109375" style="26"/>
    <col min="42" max="42" width="11.33203125" style="26" customWidth="1"/>
    <col min="43" max="43" width="12.5546875" style="26" customWidth="1"/>
    <col min="44" max="45" width="9.109375" style="26"/>
    <col min="46" max="46" width="11.5546875" style="26" customWidth="1"/>
    <col min="47" max="48" width="9.109375" style="26"/>
    <col min="49" max="49" width="11.6640625" style="26" customWidth="1"/>
    <col min="50" max="51" width="9.109375" style="26"/>
    <col min="52" max="52" width="11.6640625" style="26" customWidth="1"/>
    <col min="53" max="54" width="9.109375" style="26"/>
    <col min="55" max="55" width="10.5546875" style="26" customWidth="1"/>
    <col min="56" max="57" width="9.109375" style="26"/>
    <col min="58" max="58" width="13.44140625" style="26" customWidth="1"/>
    <col min="59" max="16384" width="9.109375" style="26"/>
  </cols>
  <sheetData>
    <row r="1" spans="1:16" ht="12.9" customHeight="1" thickBot="1">
      <c r="A1" s="100" t="s">
        <v>43</v>
      </c>
      <c r="B1" s="107" t="s">
        <v>44</v>
      </c>
      <c r="C1" s="136" t="s">
        <v>45</v>
      </c>
      <c r="D1" s="26" t="s">
        <v>46</v>
      </c>
      <c r="F1" s="86"/>
      <c r="G1" s="149" t="s">
        <v>47</v>
      </c>
      <c r="H1" s="87" t="s">
        <v>48</v>
      </c>
      <c r="K1" s="26"/>
    </row>
    <row r="2" spans="1:16" ht="12.9" customHeight="1" thickBot="1">
      <c r="A2" s="102" t="s">
        <v>49</v>
      </c>
      <c r="B2" s="127">
        <f ca="1">TODAY()</f>
        <v>46097</v>
      </c>
      <c r="C2" s="136" t="s">
        <v>50</v>
      </c>
      <c r="D2" s="137"/>
      <c r="E2" s="138" t="s">
        <v>51</v>
      </c>
      <c r="F2" s="145" t="s">
        <v>52</v>
      </c>
      <c r="G2" s="150" t="s">
        <v>21</v>
      </c>
      <c r="H2" s="88" t="s">
        <v>53</v>
      </c>
      <c r="K2" s="26"/>
    </row>
    <row r="3" spans="1:16" ht="12.9" customHeight="1">
      <c r="A3" s="106" t="s">
        <v>54</v>
      </c>
      <c r="B3" s="128" t="s">
        <v>55</v>
      </c>
      <c r="C3" s="131" t="s">
        <v>56</v>
      </c>
      <c r="D3" s="90"/>
      <c r="E3" s="103" t="s">
        <v>57</v>
      </c>
      <c r="F3" s="146" t="s">
        <v>58</v>
      </c>
      <c r="G3" s="150" t="s">
        <v>18</v>
      </c>
      <c r="H3" s="88" t="s">
        <v>48</v>
      </c>
      <c r="K3" s="26"/>
    </row>
    <row r="4" spans="1:16" ht="12.9" customHeight="1">
      <c r="A4" s="101" t="s">
        <v>59</v>
      </c>
      <c r="B4" s="129"/>
      <c r="C4" s="132" t="s">
        <v>60</v>
      </c>
      <c r="D4" s="178" t="s">
        <v>61</v>
      </c>
      <c r="E4" s="104" t="s">
        <v>62</v>
      </c>
      <c r="F4" s="147" t="s">
        <v>63</v>
      </c>
      <c r="G4" s="150" t="s">
        <v>64</v>
      </c>
      <c r="H4" s="88" t="s">
        <v>48</v>
      </c>
      <c r="K4" s="26"/>
    </row>
    <row r="5" spans="1:16" ht="12.9" customHeight="1" thickBot="1">
      <c r="A5" s="102" t="s">
        <v>65</v>
      </c>
      <c r="B5" s="130" t="s">
        <v>66</v>
      </c>
      <c r="C5" s="133" t="s">
        <v>9</v>
      </c>
      <c r="D5" s="179" t="s">
        <v>67</v>
      </c>
      <c r="E5" s="105" t="s">
        <v>68</v>
      </c>
      <c r="F5" s="148" t="s">
        <v>68</v>
      </c>
      <c r="G5" s="151" t="s">
        <v>20</v>
      </c>
      <c r="H5" s="89" t="s">
        <v>48</v>
      </c>
      <c r="K5" s="26"/>
    </row>
    <row r="6" spans="1:16" ht="12.9" customHeight="1" thickBot="1">
      <c r="D6" s="25"/>
      <c r="E6" s="25"/>
      <c r="F6" s="25"/>
      <c r="G6" s="25"/>
      <c r="H6" s="25"/>
      <c r="K6" s="26"/>
    </row>
    <row r="7" spans="1:16" ht="12.9" customHeight="1">
      <c r="A7" s="196" t="s">
        <v>69</v>
      </c>
      <c r="B7" s="197"/>
      <c r="C7" s="59" t="s">
        <v>70</v>
      </c>
      <c r="D7" s="59" t="s">
        <v>70</v>
      </c>
      <c r="E7" s="59" t="s">
        <v>71</v>
      </c>
      <c r="F7" s="59" t="s">
        <v>71</v>
      </c>
      <c r="G7" s="59" t="s">
        <v>71</v>
      </c>
      <c r="H7" s="59" t="s">
        <v>71</v>
      </c>
      <c r="I7" s="59" t="s">
        <v>71</v>
      </c>
      <c r="J7" s="59" t="s">
        <v>71</v>
      </c>
      <c r="K7" s="59" t="s">
        <v>71</v>
      </c>
      <c r="L7" s="59" t="s">
        <v>71</v>
      </c>
      <c r="M7" s="59" t="s">
        <v>71</v>
      </c>
      <c r="N7" s="59" t="s">
        <v>71</v>
      </c>
      <c r="O7" s="189" t="s">
        <v>72</v>
      </c>
    </row>
    <row r="8" spans="1:16" ht="12.9" customHeight="1">
      <c r="A8" s="198" t="s">
        <v>73</v>
      </c>
      <c r="B8" s="199"/>
      <c r="C8" s="188" t="s">
        <v>2291</v>
      </c>
      <c r="D8" s="188" t="s">
        <v>2294</v>
      </c>
      <c r="E8" s="188" t="s">
        <v>2296</v>
      </c>
      <c r="F8" s="66" t="s">
        <v>77</v>
      </c>
      <c r="G8" s="66" t="s">
        <v>78</v>
      </c>
      <c r="H8" s="66" t="s">
        <v>79</v>
      </c>
      <c r="I8" s="66" t="s">
        <v>80</v>
      </c>
      <c r="J8" s="66" t="s">
        <v>81</v>
      </c>
      <c r="K8" s="66" t="s">
        <v>82</v>
      </c>
      <c r="L8" s="66" t="s">
        <v>83</v>
      </c>
      <c r="M8" s="66" t="s">
        <v>84</v>
      </c>
      <c r="N8" s="66" t="s">
        <v>85</v>
      </c>
      <c r="O8" s="190"/>
    </row>
    <row r="9" spans="1:16" ht="12.9" customHeight="1">
      <c r="A9" s="198" t="s">
        <v>86</v>
      </c>
      <c r="B9" s="199"/>
      <c r="C9" s="188" t="s">
        <v>2292</v>
      </c>
      <c r="D9" s="188" t="s">
        <v>2295</v>
      </c>
      <c r="E9" s="188" t="s">
        <v>2297</v>
      </c>
      <c r="F9" s="28"/>
      <c r="G9" s="66"/>
      <c r="H9" s="66"/>
      <c r="I9" s="66" t="s">
        <v>87</v>
      </c>
      <c r="J9" s="66" t="s">
        <v>88</v>
      </c>
      <c r="K9" s="66" t="s">
        <v>89</v>
      </c>
      <c r="L9" s="66" t="s">
        <v>90</v>
      </c>
      <c r="M9" s="66" t="s">
        <v>91</v>
      </c>
      <c r="N9" s="66" t="s">
        <v>92</v>
      </c>
      <c r="O9" s="190"/>
    </row>
    <row r="10" spans="1:16" ht="24" customHeight="1" thickBot="1">
      <c r="A10" s="210" t="s">
        <v>93</v>
      </c>
      <c r="B10" s="211"/>
      <c r="C10" s="188" t="s">
        <v>2293</v>
      </c>
      <c r="D10" s="58" t="s">
        <v>95</v>
      </c>
      <c r="E10" s="188" t="s">
        <v>2298</v>
      </c>
      <c r="F10" s="58" t="s">
        <v>97</v>
      </c>
      <c r="G10" s="58" t="s">
        <v>98</v>
      </c>
      <c r="H10" s="58" t="s">
        <v>99</v>
      </c>
      <c r="I10" s="58" t="s">
        <v>100</v>
      </c>
      <c r="J10" s="58" t="s">
        <v>101</v>
      </c>
      <c r="K10" s="58" t="s">
        <v>102</v>
      </c>
      <c r="L10" s="58" t="s">
        <v>103</v>
      </c>
      <c r="M10" s="58" t="s">
        <v>104</v>
      </c>
      <c r="N10" s="58" t="s">
        <v>105</v>
      </c>
      <c r="O10" s="191"/>
      <c r="P10" s="108"/>
    </row>
    <row r="11" spans="1:16" ht="12.9" customHeight="1" thickBot="1">
      <c r="A11" s="91" t="s">
        <v>106</v>
      </c>
      <c r="B11" s="61" t="s">
        <v>107</v>
      </c>
      <c r="C11" s="60">
        <v>1</v>
      </c>
      <c r="D11" s="60">
        <v>1</v>
      </c>
      <c r="E11" s="60">
        <v>1</v>
      </c>
      <c r="F11" s="60"/>
      <c r="G11" s="60"/>
      <c r="H11" s="60"/>
      <c r="I11" s="60"/>
      <c r="J11" s="60"/>
      <c r="K11" s="60"/>
      <c r="L11" s="60"/>
      <c r="M11" s="60"/>
      <c r="N11" s="60"/>
      <c r="O11" s="73"/>
    </row>
    <row r="12" spans="1:16" ht="12.9" customHeight="1" thickBot="1">
      <c r="A12" s="62" t="s">
        <v>108</v>
      </c>
      <c r="B12" s="39" t="s">
        <v>109</v>
      </c>
      <c r="C12" s="76">
        <v>980.67</v>
      </c>
      <c r="D12" s="76">
        <v>321.08</v>
      </c>
      <c r="E12" s="76">
        <v>472.42</v>
      </c>
      <c r="F12" s="76"/>
      <c r="G12" s="76"/>
      <c r="H12" s="76"/>
      <c r="I12" s="76"/>
      <c r="J12" s="76"/>
      <c r="K12" s="76"/>
      <c r="L12" s="76"/>
      <c r="M12" s="76"/>
      <c r="N12" s="76"/>
      <c r="O12" s="74">
        <f>SUM(C12:N12)</f>
        <v>1774.17</v>
      </c>
    </row>
    <row r="13" spans="1:16" ht="12.9" customHeight="1" thickBot="1">
      <c r="A13" s="62"/>
      <c r="B13" s="187" t="s">
        <v>2289</v>
      </c>
      <c r="C13" s="76">
        <f>(C12*C11)</f>
        <v>980.67</v>
      </c>
      <c r="D13" s="76">
        <f t="shared" ref="D13:N13" si="0">(D12*D11)</f>
        <v>321.08</v>
      </c>
      <c r="E13" s="76">
        <f t="shared" si="0"/>
        <v>472.42</v>
      </c>
      <c r="F13" s="76">
        <f t="shared" si="0"/>
        <v>0</v>
      </c>
      <c r="G13" s="76">
        <f t="shared" si="0"/>
        <v>0</v>
      </c>
      <c r="H13" s="76">
        <f t="shared" si="0"/>
        <v>0</v>
      </c>
      <c r="I13" s="76">
        <f t="shared" si="0"/>
        <v>0</v>
      </c>
      <c r="J13" s="76">
        <f t="shared" si="0"/>
        <v>0</v>
      </c>
      <c r="K13" s="76">
        <f t="shared" si="0"/>
        <v>0</v>
      </c>
      <c r="L13" s="76">
        <f t="shared" si="0"/>
        <v>0</v>
      </c>
      <c r="M13" s="76">
        <f t="shared" si="0"/>
        <v>0</v>
      </c>
      <c r="N13" s="76">
        <f t="shared" si="0"/>
        <v>0</v>
      </c>
      <c r="O13" s="74">
        <f t="shared" ref="O13:O15" si="1">SUM(C13:N13)</f>
        <v>1774.17</v>
      </c>
    </row>
    <row r="14" spans="1:16" ht="12.9" customHeight="1" thickBot="1">
      <c r="A14" s="62" t="s">
        <v>108</v>
      </c>
      <c r="B14" s="181" t="s">
        <v>110</v>
      </c>
      <c r="C14" s="38">
        <f>C12*0.17</f>
        <v>166.7139</v>
      </c>
      <c r="D14" s="38">
        <f t="shared" ref="D14:E14" si="2">D12*0.17</f>
        <v>54.583600000000004</v>
      </c>
      <c r="E14" s="38">
        <f t="shared" si="2"/>
        <v>80.311400000000006</v>
      </c>
      <c r="F14" s="38">
        <f t="shared" ref="D14:H14" si="3">F12*0.09</f>
        <v>0</v>
      </c>
      <c r="G14" s="38">
        <f t="shared" si="3"/>
        <v>0</v>
      </c>
      <c r="H14" s="38">
        <f t="shared" si="3"/>
        <v>0</v>
      </c>
      <c r="I14" s="38">
        <f t="shared" ref="I14:L14" si="4">I12*0.09</f>
        <v>0</v>
      </c>
      <c r="J14" s="38">
        <f t="shared" si="4"/>
        <v>0</v>
      </c>
      <c r="K14" s="38">
        <f t="shared" si="4"/>
        <v>0</v>
      </c>
      <c r="L14" s="38">
        <f t="shared" si="4"/>
        <v>0</v>
      </c>
      <c r="M14" s="38">
        <f t="shared" ref="M14:N14" si="5">M12*0.09</f>
        <v>0</v>
      </c>
      <c r="N14" s="38">
        <f t="shared" si="5"/>
        <v>0</v>
      </c>
      <c r="O14" s="74">
        <f t="shared" si="1"/>
        <v>301.60890000000001</v>
      </c>
    </row>
    <row r="15" spans="1:16" ht="12.9" customHeight="1">
      <c r="A15" s="62"/>
      <c r="B15" s="182" t="s">
        <v>2290</v>
      </c>
      <c r="C15" s="183">
        <f>(C12*C11)*0.09</f>
        <v>88.260299999999987</v>
      </c>
      <c r="D15" s="183">
        <f t="shared" ref="D15:N15" si="6">(D12*D11)*0.09</f>
        <v>28.897199999999998</v>
      </c>
      <c r="E15" s="183">
        <f t="shared" si="6"/>
        <v>42.517800000000001</v>
      </c>
      <c r="F15" s="183">
        <f t="shared" si="6"/>
        <v>0</v>
      </c>
      <c r="G15" s="183">
        <f t="shared" si="6"/>
        <v>0</v>
      </c>
      <c r="H15" s="183">
        <f t="shared" si="6"/>
        <v>0</v>
      </c>
      <c r="I15" s="183">
        <f t="shared" si="6"/>
        <v>0</v>
      </c>
      <c r="J15" s="183">
        <f t="shared" si="6"/>
        <v>0</v>
      </c>
      <c r="K15" s="183">
        <f t="shared" si="6"/>
        <v>0</v>
      </c>
      <c r="L15" s="183">
        <f t="shared" si="6"/>
        <v>0</v>
      </c>
      <c r="M15" s="183">
        <f t="shared" si="6"/>
        <v>0</v>
      </c>
      <c r="N15" s="183">
        <f t="shared" si="6"/>
        <v>0</v>
      </c>
      <c r="O15" s="74">
        <f t="shared" si="1"/>
        <v>159.67529999999999</v>
      </c>
    </row>
    <row r="16" spans="1:16" ht="12.9" customHeight="1">
      <c r="A16" s="62"/>
      <c r="B16" s="182" t="s">
        <v>111</v>
      </c>
      <c r="C16" s="183">
        <f>C13+C15</f>
        <v>1068.9303</v>
      </c>
      <c r="D16" s="183">
        <f t="shared" ref="D16:N16" si="7">(D12+D14)*D11</f>
        <v>375.66359999999997</v>
      </c>
      <c r="E16" s="183">
        <f t="shared" si="7"/>
        <v>552.73140000000001</v>
      </c>
      <c r="F16" s="183">
        <f t="shared" si="7"/>
        <v>0</v>
      </c>
      <c r="G16" s="183">
        <f t="shared" si="7"/>
        <v>0</v>
      </c>
      <c r="H16" s="183">
        <f t="shared" si="7"/>
        <v>0</v>
      </c>
      <c r="I16" s="183">
        <f t="shared" si="7"/>
        <v>0</v>
      </c>
      <c r="J16" s="183">
        <f t="shared" si="7"/>
        <v>0</v>
      </c>
      <c r="K16" s="183">
        <f t="shared" si="7"/>
        <v>0</v>
      </c>
      <c r="L16" s="183">
        <f t="shared" si="7"/>
        <v>0</v>
      </c>
      <c r="M16" s="183">
        <f t="shared" si="7"/>
        <v>0</v>
      </c>
      <c r="N16" s="183">
        <f t="shared" si="7"/>
        <v>0</v>
      </c>
      <c r="O16" s="184">
        <f>SUM(C16:N16)</f>
        <v>1997.3253</v>
      </c>
    </row>
    <row r="17" spans="1:46" ht="12.9" customHeight="1" thickBot="1">
      <c r="A17" s="63"/>
      <c r="B17" s="45" t="s">
        <v>112</v>
      </c>
      <c r="C17" s="46">
        <f>IF($A$12="EUR",0.45,0.39)</f>
        <v>0.45</v>
      </c>
      <c r="D17" s="46">
        <f t="shared" ref="D17:N17" si="8">IF($A$12="EUR",0.45,0.39)</f>
        <v>0.45</v>
      </c>
      <c r="E17" s="46">
        <f t="shared" si="8"/>
        <v>0.45</v>
      </c>
      <c r="F17" s="46">
        <f t="shared" si="8"/>
        <v>0.45</v>
      </c>
      <c r="G17" s="46">
        <f t="shared" si="8"/>
        <v>0.45</v>
      </c>
      <c r="H17" s="46">
        <f t="shared" si="8"/>
        <v>0.45</v>
      </c>
      <c r="I17" s="46">
        <f t="shared" si="8"/>
        <v>0.45</v>
      </c>
      <c r="J17" s="46">
        <f t="shared" si="8"/>
        <v>0.45</v>
      </c>
      <c r="K17" s="46">
        <f t="shared" si="8"/>
        <v>0.45</v>
      </c>
      <c r="L17" s="46">
        <f t="shared" si="8"/>
        <v>0.45</v>
      </c>
      <c r="M17" s="46">
        <f t="shared" si="8"/>
        <v>0.45</v>
      </c>
      <c r="N17" s="46">
        <f t="shared" si="8"/>
        <v>0.45</v>
      </c>
      <c r="O17" s="75" t="s">
        <v>113</v>
      </c>
    </row>
    <row r="18" spans="1:46" ht="12.9" customHeight="1" thickBot="1">
      <c r="A18" s="62" t="s">
        <v>114</v>
      </c>
      <c r="B18" s="48" t="s">
        <v>109</v>
      </c>
      <c r="C18" s="49">
        <f>C12*C17</f>
        <v>441.30149999999998</v>
      </c>
      <c r="D18" s="49">
        <f t="shared" ref="D18:G18" si="9">D12*D17</f>
        <v>144.48599999999999</v>
      </c>
      <c r="E18" s="49">
        <f t="shared" si="9"/>
        <v>212.589</v>
      </c>
      <c r="F18" s="49">
        <f t="shared" si="9"/>
        <v>0</v>
      </c>
      <c r="G18" s="69">
        <f t="shared" si="9"/>
        <v>0</v>
      </c>
      <c r="H18" s="69">
        <f t="shared" ref="H18:L18" si="10">H12*H17</f>
        <v>0</v>
      </c>
      <c r="I18" s="69">
        <f t="shared" si="10"/>
        <v>0</v>
      </c>
      <c r="J18" s="69">
        <f t="shared" si="10"/>
        <v>0</v>
      </c>
      <c r="K18" s="69">
        <f t="shared" si="10"/>
        <v>0</v>
      </c>
      <c r="L18" s="69">
        <f t="shared" si="10"/>
        <v>0</v>
      </c>
      <c r="M18" s="69">
        <f t="shared" ref="M18:N18" si="11">M12*M17</f>
        <v>0</v>
      </c>
      <c r="N18" s="69">
        <f t="shared" si="11"/>
        <v>0</v>
      </c>
      <c r="O18" s="77">
        <f>SUM(C18:N18)</f>
        <v>798.37649999999985</v>
      </c>
    </row>
    <row r="19" spans="1:46" ht="12.9" customHeight="1" thickBot="1">
      <c r="A19" s="62" t="s">
        <v>114</v>
      </c>
      <c r="B19" s="40" t="s">
        <v>110</v>
      </c>
      <c r="C19" s="41">
        <f>C14*C17</f>
        <v>75.021254999999996</v>
      </c>
      <c r="D19" s="41">
        <f t="shared" ref="D19:G19" si="12">D14*D17</f>
        <v>24.562620000000003</v>
      </c>
      <c r="E19" s="41">
        <f t="shared" si="12"/>
        <v>36.140130000000006</v>
      </c>
      <c r="F19" s="41">
        <f t="shared" si="12"/>
        <v>0</v>
      </c>
      <c r="G19" s="70">
        <f t="shared" si="12"/>
        <v>0</v>
      </c>
      <c r="H19" s="70">
        <f t="shared" ref="H19:L19" si="13">H14*H17</f>
        <v>0</v>
      </c>
      <c r="I19" s="70">
        <f t="shared" si="13"/>
        <v>0</v>
      </c>
      <c r="J19" s="70">
        <f t="shared" si="13"/>
        <v>0</v>
      </c>
      <c r="K19" s="70">
        <f t="shared" si="13"/>
        <v>0</v>
      </c>
      <c r="L19" s="70">
        <f t="shared" si="13"/>
        <v>0</v>
      </c>
      <c r="M19" s="70">
        <f t="shared" ref="M19:N19" si="14">M14*M17</f>
        <v>0</v>
      </c>
      <c r="N19" s="70">
        <f t="shared" si="14"/>
        <v>0</v>
      </c>
      <c r="O19" s="77">
        <f t="shared" ref="O19:O26" si="15">SUM(C19:N19)</f>
        <v>135.72400500000001</v>
      </c>
    </row>
    <row r="20" spans="1:46" ht="12.9" customHeight="1" thickBot="1">
      <c r="A20" s="63"/>
      <c r="B20" s="43" t="s">
        <v>115</v>
      </c>
      <c r="C20" s="42">
        <f>C18+C19</f>
        <v>516.32275499999992</v>
      </c>
      <c r="D20" s="42">
        <f t="shared" ref="D20:G20" si="16">D18+D19</f>
        <v>169.04862</v>
      </c>
      <c r="E20" s="42">
        <f t="shared" si="16"/>
        <v>248.72913</v>
      </c>
      <c r="F20" s="42">
        <f t="shared" si="16"/>
        <v>0</v>
      </c>
      <c r="G20" s="71">
        <f t="shared" si="16"/>
        <v>0</v>
      </c>
      <c r="H20" s="71">
        <f t="shared" ref="H20:L20" si="17">H18+H19</f>
        <v>0</v>
      </c>
      <c r="I20" s="71">
        <f t="shared" si="17"/>
        <v>0</v>
      </c>
      <c r="J20" s="71">
        <f t="shared" si="17"/>
        <v>0</v>
      </c>
      <c r="K20" s="71">
        <f t="shared" si="17"/>
        <v>0</v>
      </c>
      <c r="L20" s="71">
        <f t="shared" si="17"/>
        <v>0</v>
      </c>
      <c r="M20" s="71">
        <f t="shared" ref="M20:N20" si="18">M18+M19</f>
        <v>0</v>
      </c>
      <c r="N20" s="71">
        <f t="shared" si="18"/>
        <v>0</v>
      </c>
      <c r="O20" s="77">
        <f t="shared" si="15"/>
        <v>934.10050499999988</v>
      </c>
    </row>
    <row r="21" spans="1:46" ht="12.9" customHeight="1" thickBot="1">
      <c r="A21" s="63"/>
      <c r="B21" s="40" t="s">
        <v>116</v>
      </c>
      <c r="C21" s="41">
        <v>0</v>
      </c>
      <c r="D21" s="41">
        <v>0</v>
      </c>
      <c r="E21" s="41">
        <v>0</v>
      </c>
      <c r="F21" s="41">
        <v>0</v>
      </c>
      <c r="G21" s="70">
        <v>0</v>
      </c>
      <c r="H21" s="70">
        <v>0</v>
      </c>
      <c r="I21" s="70">
        <v>0</v>
      </c>
      <c r="J21" s="70">
        <v>0</v>
      </c>
      <c r="K21" s="70">
        <v>0</v>
      </c>
      <c r="L21" s="70">
        <v>0</v>
      </c>
      <c r="M21" s="70">
        <v>0</v>
      </c>
      <c r="N21" s="70">
        <v>0</v>
      </c>
      <c r="O21" s="77">
        <f t="shared" si="15"/>
        <v>0</v>
      </c>
    </row>
    <row r="22" spans="1:46" ht="12.9" customHeight="1" thickBot="1">
      <c r="A22" s="64">
        <v>0.05</v>
      </c>
      <c r="B22" s="40" t="s">
        <v>117</v>
      </c>
      <c r="C22" s="41">
        <f>C20*$A$22</f>
        <v>25.816137749999996</v>
      </c>
      <c r="D22" s="41">
        <f t="shared" ref="D22:G22" si="19">D20*$A$22</f>
        <v>8.4524310000000007</v>
      </c>
      <c r="E22" s="41">
        <f t="shared" si="19"/>
        <v>12.4364565</v>
      </c>
      <c r="F22" s="41">
        <f t="shared" si="19"/>
        <v>0</v>
      </c>
      <c r="G22" s="70">
        <f t="shared" si="19"/>
        <v>0</v>
      </c>
      <c r="H22" s="70">
        <f t="shared" ref="H22:L22" si="20">H20*$A$22</f>
        <v>0</v>
      </c>
      <c r="I22" s="70">
        <f t="shared" si="20"/>
        <v>0</v>
      </c>
      <c r="J22" s="70">
        <f t="shared" si="20"/>
        <v>0</v>
      </c>
      <c r="K22" s="70">
        <f t="shared" si="20"/>
        <v>0</v>
      </c>
      <c r="L22" s="70">
        <f t="shared" si="20"/>
        <v>0</v>
      </c>
      <c r="M22" s="70">
        <f t="shared" ref="M22:N22" si="21">M20*$A$22</f>
        <v>0</v>
      </c>
      <c r="N22" s="70">
        <f t="shared" si="21"/>
        <v>0</v>
      </c>
      <c r="O22" s="77">
        <f t="shared" si="15"/>
        <v>46.705025249999998</v>
      </c>
    </row>
    <row r="23" spans="1:46" ht="12.9" customHeight="1" thickBot="1">
      <c r="A23" s="65"/>
      <c r="B23" s="40" t="s">
        <v>118</v>
      </c>
      <c r="C23" s="41">
        <f>SUM(C20:C22)</f>
        <v>542.13889274999997</v>
      </c>
      <c r="D23" s="41">
        <f t="shared" ref="D23:G23" si="22">SUM(D20:D22)</f>
        <v>177.50105099999999</v>
      </c>
      <c r="E23" s="41">
        <f t="shared" si="22"/>
        <v>261.16558650000002</v>
      </c>
      <c r="F23" s="41">
        <f t="shared" si="22"/>
        <v>0</v>
      </c>
      <c r="G23" s="70">
        <f t="shared" si="22"/>
        <v>0</v>
      </c>
      <c r="H23" s="70">
        <f t="shared" ref="H23:L23" si="23">SUM(H20:H22)</f>
        <v>0</v>
      </c>
      <c r="I23" s="70">
        <f t="shared" si="23"/>
        <v>0</v>
      </c>
      <c r="J23" s="70">
        <f t="shared" si="23"/>
        <v>0</v>
      </c>
      <c r="K23" s="70">
        <f t="shared" si="23"/>
        <v>0</v>
      </c>
      <c r="L23" s="70">
        <f t="shared" si="23"/>
        <v>0</v>
      </c>
      <c r="M23" s="70">
        <f t="shared" ref="M23:N23" si="24">SUM(M20:M22)</f>
        <v>0</v>
      </c>
      <c r="N23" s="70">
        <f t="shared" si="24"/>
        <v>0</v>
      </c>
      <c r="O23" s="77">
        <f t="shared" si="15"/>
        <v>980.80553024999995</v>
      </c>
    </row>
    <row r="24" spans="1:46" s="17" customFormat="1" ht="12.9" customHeight="1" thickBot="1">
      <c r="A24" s="64">
        <v>0.01</v>
      </c>
      <c r="B24" s="47" t="s">
        <v>119</v>
      </c>
      <c r="C24" s="50">
        <f>C23*$A$24</f>
        <v>5.4213889274999998</v>
      </c>
      <c r="D24" s="50">
        <f t="shared" ref="D24:G24" si="25">D23*$A$24</f>
        <v>1.77501051</v>
      </c>
      <c r="E24" s="50">
        <f t="shared" si="25"/>
        <v>2.6116558650000004</v>
      </c>
      <c r="F24" s="50">
        <f t="shared" si="25"/>
        <v>0</v>
      </c>
      <c r="G24" s="72">
        <f t="shared" si="25"/>
        <v>0</v>
      </c>
      <c r="H24" s="72">
        <f t="shared" ref="H24:L24" si="26">H23*$A$24</f>
        <v>0</v>
      </c>
      <c r="I24" s="72">
        <f t="shared" si="26"/>
        <v>0</v>
      </c>
      <c r="J24" s="72">
        <f t="shared" si="26"/>
        <v>0</v>
      </c>
      <c r="K24" s="72">
        <f t="shared" si="26"/>
        <v>0</v>
      </c>
      <c r="L24" s="72">
        <f t="shared" si="26"/>
        <v>0</v>
      </c>
      <c r="M24" s="72">
        <f t="shared" ref="M24:N24" si="27">M23*$A$24</f>
        <v>0</v>
      </c>
      <c r="N24" s="72">
        <f t="shared" si="27"/>
        <v>0</v>
      </c>
      <c r="O24" s="77">
        <f t="shared" si="15"/>
        <v>9.8080553025000015</v>
      </c>
      <c r="P24" s="26"/>
    </row>
    <row r="25" spans="1:46" ht="12.9" customHeight="1" thickBot="1">
      <c r="A25" s="64">
        <v>0.01</v>
      </c>
      <c r="B25" s="40" t="s">
        <v>120</v>
      </c>
      <c r="C25" s="41">
        <f>C23*$A$25</f>
        <v>5.4213889274999998</v>
      </c>
      <c r="D25" s="41">
        <f t="shared" ref="D25:G25" si="28">D23*$A$25</f>
        <v>1.77501051</v>
      </c>
      <c r="E25" s="41">
        <f t="shared" si="28"/>
        <v>2.6116558650000004</v>
      </c>
      <c r="F25" s="41">
        <f t="shared" si="28"/>
        <v>0</v>
      </c>
      <c r="G25" s="70">
        <f t="shared" si="28"/>
        <v>0</v>
      </c>
      <c r="H25" s="70">
        <f t="shared" ref="H25:L25" si="29">H23*$A$25</f>
        <v>0</v>
      </c>
      <c r="I25" s="70">
        <f t="shared" si="29"/>
        <v>0</v>
      </c>
      <c r="J25" s="70">
        <f t="shared" si="29"/>
        <v>0</v>
      </c>
      <c r="K25" s="70">
        <f t="shared" si="29"/>
        <v>0</v>
      </c>
      <c r="L25" s="70">
        <f t="shared" si="29"/>
        <v>0</v>
      </c>
      <c r="M25" s="70">
        <f t="shared" ref="M25:N25" si="30">M23*$A$25</f>
        <v>0</v>
      </c>
      <c r="N25" s="70">
        <f t="shared" si="30"/>
        <v>0</v>
      </c>
      <c r="O25" s="77">
        <f t="shared" si="15"/>
        <v>9.8080553025000015</v>
      </c>
    </row>
    <row r="26" spans="1:46" ht="12.9" customHeight="1">
      <c r="A26" s="65"/>
      <c r="B26" s="40" t="s">
        <v>121</v>
      </c>
      <c r="C26" s="41">
        <v>0</v>
      </c>
      <c r="D26" s="41">
        <v>0</v>
      </c>
      <c r="E26" s="41">
        <v>0</v>
      </c>
      <c r="F26" s="41">
        <v>0</v>
      </c>
      <c r="G26" s="70">
        <v>0</v>
      </c>
      <c r="H26" s="70">
        <v>0</v>
      </c>
      <c r="I26" s="70">
        <v>0</v>
      </c>
      <c r="J26" s="70">
        <v>0</v>
      </c>
      <c r="K26" s="70">
        <v>0</v>
      </c>
      <c r="L26" s="70">
        <v>0</v>
      </c>
      <c r="M26" s="70">
        <v>0</v>
      </c>
      <c r="N26" s="70">
        <v>0</v>
      </c>
      <c r="O26" s="77">
        <f t="shared" si="15"/>
        <v>0</v>
      </c>
    </row>
    <row r="27" spans="1:46" ht="12.9" customHeight="1">
      <c r="A27" s="65"/>
      <c r="B27" s="40" t="s">
        <v>122</v>
      </c>
      <c r="C27" s="41">
        <f>SUM(C23:C26)</f>
        <v>552.98167060499986</v>
      </c>
      <c r="D27" s="41">
        <f t="shared" ref="D27:G27" si="31">SUM(D23:D26)</f>
        <v>181.05107201999996</v>
      </c>
      <c r="E27" s="41">
        <f t="shared" si="31"/>
        <v>266.38889823</v>
      </c>
      <c r="F27" s="41">
        <f t="shared" si="31"/>
        <v>0</v>
      </c>
      <c r="G27" s="70">
        <f t="shared" si="31"/>
        <v>0</v>
      </c>
      <c r="H27" s="70">
        <f t="shared" ref="H27:L27" si="32">SUM(H23:H26)</f>
        <v>0</v>
      </c>
      <c r="I27" s="70">
        <f t="shared" si="32"/>
        <v>0</v>
      </c>
      <c r="J27" s="70">
        <f t="shared" si="32"/>
        <v>0</v>
      </c>
      <c r="K27" s="70">
        <f t="shared" si="32"/>
        <v>0</v>
      </c>
      <c r="L27" s="70">
        <f t="shared" si="32"/>
        <v>0</v>
      </c>
      <c r="M27" s="70">
        <f t="shared" ref="M27:N27" si="33">SUM(M23:M26)</f>
        <v>0</v>
      </c>
      <c r="N27" s="70">
        <f t="shared" si="33"/>
        <v>0</v>
      </c>
      <c r="O27" s="78">
        <f>SUM(C27*C11,D27*D11,E27*E11,F27*F11,G27*G11,H27*H11,I27*I11,J27*J11,K27*K11,L27*L11,M27*M11,N27*N11)</f>
        <v>1000.4216408549999</v>
      </c>
    </row>
    <row r="28" spans="1:46" ht="12.9" customHeight="1" thickBot="1">
      <c r="A28" s="64">
        <v>0.25</v>
      </c>
      <c r="B28" s="80" t="s">
        <v>123</v>
      </c>
      <c r="C28" s="82">
        <f>C27*$A$28</f>
        <v>138.24541765124997</v>
      </c>
      <c r="D28" s="82">
        <f t="shared" ref="D28:G28" si="34">D27*$A$28</f>
        <v>45.262768004999991</v>
      </c>
      <c r="E28" s="82">
        <f t="shared" si="34"/>
        <v>66.597224557499999</v>
      </c>
      <c r="F28" s="82">
        <f t="shared" si="34"/>
        <v>0</v>
      </c>
      <c r="G28" s="157">
        <f t="shared" si="34"/>
        <v>0</v>
      </c>
      <c r="H28" s="157">
        <f t="shared" ref="H28:L28" si="35">H27*$A$28</f>
        <v>0</v>
      </c>
      <c r="I28" s="157">
        <f t="shared" si="35"/>
        <v>0</v>
      </c>
      <c r="J28" s="157">
        <f t="shared" si="35"/>
        <v>0</v>
      </c>
      <c r="K28" s="157">
        <f t="shared" si="35"/>
        <v>0</v>
      </c>
      <c r="L28" s="157">
        <f t="shared" si="35"/>
        <v>0</v>
      </c>
      <c r="M28" s="157">
        <f t="shared" ref="M28:N28" si="36">M27*$A$28</f>
        <v>0</v>
      </c>
      <c r="N28" s="157">
        <f t="shared" si="36"/>
        <v>0</v>
      </c>
      <c r="O28" s="83">
        <f>SUM(C28:N28)</f>
        <v>250.10541021374996</v>
      </c>
    </row>
    <row r="29" spans="1:46" ht="12.9" customHeight="1">
      <c r="A29" s="208" t="s">
        <v>124</v>
      </c>
      <c r="B29" s="209"/>
      <c r="C29" s="84">
        <f>C27+C28</f>
        <v>691.22708825624977</v>
      </c>
      <c r="D29" s="158">
        <f t="shared" ref="D29:G29" si="37">D27+D28</f>
        <v>226.31384002499996</v>
      </c>
      <c r="E29" s="158">
        <f t="shared" si="37"/>
        <v>332.98612278749999</v>
      </c>
      <c r="F29" s="158">
        <f t="shared" si="37"/>
        <v>0</v>
      </c>
      <c r="G29" s="159">
        <f t="shared" si="37"/>
        <v>0</v>
      </c>
      <c r="H29" s="159">
        <f t="shared" ref="H29:L29" si="38">H27+H28</f>
        <v>0</v>
      </c>
      <c r="I29" s="159">
        <f t="shared" si="38"/>
        <v>0</v>
      </c>
      <c r="J29" s="159">
        <f t="shared" si="38"/>
        <v>0</v>
      </c>
      <c r="K29" s="159">
        <f t="shared" si="38"/>
        <v>0</v>
      </c>
      <c r="L29" s="159">
        <f t="shared" si="38"/>
        <v>0</v>
      </c>
      <c r="M29" s="159">
        <f t="shared" ref="M29:N29" si="39">M27+M28</f>
        <v>0</v>
      </c>
      <c r="N29" s="159">
        <f t="shared" si="39"/>
        <v>0</v>
      </c>
      <c r="O29" s="83">
        <f t="shared" ref="O29:O31" si="40">SUM(C29:N29)</f>
        <v>1250.5270510687496</v>
      </c>
    </row>
    <row r="30" spans="1:46" s="18" customFormat="1" ht="12.9" customHeight="1" thickBot="1">
      <c r="A30" s="206" t="s">
        <v>125</v>
      </c>
      <c r="B30" s="207"/>
      <c r="C30" s="85">
        <f>CEILING(C29,1)</f>
        <v>692</v>
      </c>
      <c r="D30" s="85">
        <f t="shared" ref="D30:E30" si="41">CEILING(D29,1)</f>
        <v>227</v>
      </c>
      <c r="E30" s="85">
        <f t="shared" si="41"/>
        <v>333</v>
      </c>
      <c r="F30" s="85">
        <f t="shared" ref="D30:N30" si="42">CEILING(F29,1)</f>
        <v>0</v>
      </c>
      <c r="G30" s="85">
        <f t="shared" si="42"/>
        <v>0</v>
      </c>
      <c r="H30" s="85">
        <f t="shared" si="42"/>
        <v>0</v>
      </c>
      <c r="I30" s="85">
        <f t="shared" si="42"/>
        <v>0</v>
      </c>
      <c r="J30" s="85">
        <f t="shared" si="42"/>
        <v>0</v>
      </c>
      <c r="K30" s="85">
        <f t="shared" si="42"/>
        <v>0</v>
      </c>
      <c r="L30" s="85">
        <f t="shared" si="42"/>
        <v>0</v>
      </c>
      <c r="M30" s="85">
        <f t="shared" si="42"/>
        <v>0</v>
      </c>
      <c r="N30" s="85">
        <f t="shared" si="42"/>
        <v>0</v>
      </c>
      <c r="O30" s="83">
        <f t="shared" si="40"/>
        <v>1252</v>
      </c>
    </row>
    <row r="31" spans="1:46" ht="12.9" customHeight="1" thickBot="1">
      <c r="A31" s="204" t="s">
        <v>126</v>
      </c>
      <c r="B31" s="205"/>
      <c r="C31" s="81">
        <f t="shared" ref="C31:N31" si="43">C30*C11</f>
        <v>692</v>
      </c>
      <c r="D31" s="81">
        <f t="shared" si="43"/>
        <v>227</v>
      </c>
      <c r="E31" s="81">
        <f t="shared" si="43"/>
        <v>333</v>
      </c>
      <c r="F31" s="81">
        <f t="shared" si="43"/>
        <v>0</v>
      </c>
      <c r="G31" s="81">
        <f t="shared" si="43"/>
        <v>0</v>
      </c>
      <c r="H31" s="81">
        <f t="shared" si="43"/>
        <v>0</v>
      </c>
      <c r="I31" s="81">
        <f t="shared" si="43"/>
        <v>0</v>
      </c>
      <c r="J31" s="81">
        <f t="shared" si="43"/>
        <v>0</v>
      </c>
      <c r="K31" s="81">
        <f t="shared" si="43"/>
        <v>0</v>
      </c>
      <c r="L31" s="81">
        <f t="shared" si="43"/>
        <v>0</v>
      </c>
      <c r="M31" s="81">
        <f t="shared" si="43"/>
        <v>0</v>
      </c>
      <c r="N31" s="81">
        <f t="shared" si="43"/>
        <v>0</v>
      </c>
      <c r="O31" s="83">
        <f t="shared" si="40"/>
        <v>1252</v>
      </c>
      <c r="W31" s="19"/>
      <c r="AE31" s="19"/>
      <c r="AF31" s="19"/>
      <c r="AG31" s="19"/>
      <c r="AH31" s="19"/>
      <c r="AI31" s="19"/>
      <c r="AJ31" s="19"/>
      <c r="AK31" s="19"/>
      <c r="AL31" s="19"/>
      <c r="AM31" s="19"/>
      <c r="AN31" s="19"/>
      <c r="AO31" s="19"/>
      <c r="AP31" s="19"/>
      <c r="AQ31" s="19"/>
      <c r="AR31" s="19"/>
      <c r="AS31" s="19"/>
      <c r="AT31" s="19"/>
    </row>
    <row r="32" spans="1:46" ht="12.9" customHeight="1">
      <c r="F32" s="27"/>
      <c r="K32" s="26"/>
      <c r="O32" s="79">
        <f>O31*10%</f>
        <v>125.2</v>
      </c>
      <c r="P32" s="51" t="s">
        <v>127</v>
      </c>
      <c r="AE32" s="19"/>
      <c r="AF32" s="19"/>
      <c r="AG32" s="19"/>
      <c r="AH32" s="19"/>
      <c r="AI32" s="19"/>
      <c r="AJ32" s="19"/>
      <c r="AK32" s="19"/>
      <c r="AL32" s="19"/>
      <c r="AM32" s="19"/>
      <c r="AN32" s="19"/>
      <c r="AO32" s="19"/>
      <c r="AP32" s="19"/>
      <c r="AQ32" s="19"/>
      <c r="AR32" s="19"/>
      <c r="AS32" s="19"/>
      <c r="AT32" s="19"/>
    </row>
    <row r="33" spans="1:51" ht="12.9" customHeight="1" thickBot="1">
      <c r="A33" s="29"/>
      <c r="F33" s="27"/>
      <c r="K33" s="26"/>
      <c r="O33" s="79">
        <f>O31+O32</f>
        <v>1377.2</v>
      </c>
      <c r="P33" s="51" t="s">
        <v>128</v>
      </c>
      <c r="AE33" s="19"/>
      <c r="AF33" s="19"/>
      <c r="AG33" s="19"/>
      <c r="AH33" s="19"/>
      <c r="AI33" s="19"/>
      <c r="AJ33" s="19"/>
      <c r="AK33" s="19"/>
      <c r="AL33" s="19"/>
      <c r="AM33" s="19"/>
      <c r="AN33" s="19"/>
      <c r="AO33" s="19"/>
      <c r="AP33" s="19"/>
      <c r="AQ33" s="19"/>
      <c r="AR33" s="19"/>
      <c r="AS33" s="19"/>
      <c r="AT33" s="19"/>
    </row>
    <row r="34" spans="1:51" ht="12.9" customHeight="1">
      <c r="A34" s="200" t="s">
        <v>129</v>
      </c>
      <c r="B34" s="201"/>
      <c r="C34" s="180" t="s">
        <v>130</v>
      </c>
      <c r="D34" s="180" t="s">
        <v>131</v>
      </c>
      <c r="E34" s="99" t="s">
        <v>132</v>
      </c>
      <c r="F34" s="95"/>
      <c r="K34" s="26"/>
      <c r="O34" s="13"/>
      <c r="P34" s="13"/>
      <c r="Q34" s="19"/>
      <c r="R34" s="19"/>
      <c r="S34" s="19"/>
      <c r="T34" s="19"/>
      <c r="U34" s="19"/>
      <c r="V34" s="19"/>
      <c r="W34" s="19"/>
      <c r="X34" s="19"/>
      <c r="Y34" s="19"/>
      <c r="Z34" s="19"/>
      <c r="AA34" s="19"/>
      <c r="AB34" s="19"/>
      <c r="AC34" s="19"/>
    </row>
    <row r="35" spans="1:51" ht="12.9" customHeight="1">
      <c r="A35" s="202" t="s">
        <v>133</v>
      </c>
      <c r="B35" s="203"/>
      <c r="C35" s="92">
        <f>O31</f>
        <v>1252</v>
      </c>
      <c r="D35" s="92">
        <f>C35*0.1</f>
        <v>125.2</v>
      </c>
      <c r="E35" s="93">
        <f>C35+D35</f>
        <v>1377.2</v>
      </c>
      <c r="F35" s="96"/>
      <c r="K35" s="26"/>
      <c r="O35" s="13"/>
      <c r="P35" s="13"/>
      <c r="Q35" s="19"/>
      <c r="R35" s="19"/>
      <c r="S35" s="19"/>
      <c r="T35" s="19"/>
      <c r="U35" s="19"/>
      <c r="V35" s="19"/>
      <c r="W35" s="19"/>
      <c r="X35" s="19"/>
      <c r="Y35" s="19"/>
      <c r="Z35" s="19"/>
      <c r="AA35" s="19"/>
      <c r="AB35" s="19"/>
      <c r="AC35" s="19"/>
    </row>
    <row r="36" spans="1:51" ht="12.9" customHeight="1">
      <c r="A36" s="192" t="s">
        <v>134</v>
      </c>
      <c r="B36" s="193"/>
      <c r="C36" s="92">
        <f>O27</f>
        <v>1000.4216408549999</v>
      </c>
      <c r="D36" s="92">
        <f>C36*0.1</f>
        <v>100.04216408549999</v>
      </c>
      <c r="E36" s="93">
        <f>C36+D36</f>
        <v>1100.4638049404998</v>
      </c>
      <c r="F36" s="96"/>
      <c r="K36" s="26"/>
      <c r="O36" s="13"/>
      <c r="P36" s="13"/>
      <c r="Q36" s="19"/>
      <c r="R36" s="19"/>
      <c r="S36" s="19"/>
      <c r="T36" s="19"/>
      <c r="U36" s="19"/>
      <c r="V36" s="19"/>
      <c r="W36" s="19"/>
      <c r="X36" s="19"/>
      <c r="Y36" s="19"/>
      <c r="Z36" s="19"/>
      <c r="AA36" s="19"/>
      <c r="AB36" s="19"/>
      <c r="AC36" s="19"/>
    </row>
    <row r="37" spans="1:51" ht="12.9" customHeight="1" thickBot="1">
      <c r="A37" s="194" t="s">
        <v>135</v>
      </c>
      <c r="B37" s="195"/>
      <c r="C37" s="44">
        <f>C35-C36</f>
        <v>251.57835914500015</v>
      </c>
      <c r="D37" s="94">
        <f t="shared" ref="D37:E37" si="44">D35-D36</f>
        <v>25.157835914500012</v>
      </c>
      <c r="E37" s="98">
        <f t="shared" si="44"/>
        <v>276.73619505950023</v>
      </c>
      <c r="F37" s="97"/>
      <c r="K37" s="26"/>
      <c r="O37" s="13"/>
      <c r="P37" s="13"/>
      <c r="Q37" s="19"/>
      <c r="R37" s="19"/>
      <c r="S37" s="19"/>
      <c r="T37" s="19"/>
      <c r="U37" s="19"/>
      <c r="V37" s="19"/>
      <c r="W37" s="19"/>
      <c r="X37" s="19"/>
      <c r="Y37" s="19"/>
      <c r="Z37" s="19"/>
      <c r="AA37" s="19"/>
      <c r="AB37" s="19"/>
      <c r="AC37" s="19"/>
    </row>
    <row r="38" spans="1:51" ht="12.9" customHeight="1">
      <c r="B38" s="152" t="s">
        <v>136</v>
      </c>
      <c r="C38" s="153">
        <f>(C35-C36)/(C35)</f>
        <v>0.20094118142571896</v>
      </c>
      <c r="K38" s="26"/>
      <c r="Q38" s="19"/>
      <c r="R38" s="19"/>
      <c r="S38" s="19"/>
      <c r="T38" s="19"/>
      <c r="U38" s="19"/>
      <c r="V38" s="19"/>
      <c r="W38" s="19"/>
      <c r="X38" s="19"/>
      <c r="Y38" s="19"/>
      <c r="Z38" s="19"/>
      <c r="AA38" s="19"/>
      <c r="AB38" s="19"/>
      <c r="AC38" s="19"/>
    </row>
    <row r="39" spans="1:51" ht="12.9" customHeight="1">
      <c r="K39" s="26"/>
      <c r="Q39" s="19"/>
      <c r="R39" s="19"/>
      <c r="S39" s="19"/>
      <c r="T39" s="19"/>
      <c r="U39" s="19"/>
      <c r="V39" s="19"/>
      <c r="W39" s="19"/>
      <c r="X39" s="19"/>
      <c r="Y39" s="19"/>
      <c r="Z39" s="19"/>
      <c r="AA39" s="19"/>
      <c r="AB39" s="19"/>
      <c r="AC39" s="19"/>
    </row>
    <row r="40" spans="1:51" ht="12.9" customHeight="1">
      <c r="J40" s="25"/>
      <c r="K40" s="26"/>
      <c r="Q40" s="19"/>
      <c r="R40" s="19"/>
      <c r="S40" s="19"/>
      <c r="T40" s="19"/>
      <c r="U40" s="19"/>
      <c r="V40" s="19"/>
      <c r="W40" s="19"/>
      <c r="X40" s="19"/>
      <c r="Y40" s="19"/>
      <c r="Z40" s="19"/>
      <c r="AA40" s="19"/>
      <c r="AB40" s="19"/>
      <c r="AC40" s="19"/>
    </row>
    <row r="41" spans="1:51" ht="12.9" customHeight="1">
      <c r="A41" s="25"/>
      <c r="B41" s="25"/>
      <c r="C41" s="25"/>
      <c r="D41" s="25"/>
      <c r="E41" s="25"/>
      <c r="F41" s="25"/>
      <c r="G41" s="25"/>
      <c r="H41" s="25"/>
      <c r="I41" s="25"/>
      <c r="AJ41" s="19"/>
      <c r="AK41" s="19"/>
      <c r="AL41" s="19"/>
      <c r="AM41" s="19"/>
      <c r="AN41" s="19"/>
      <c r="AO41" s="19"/>
      <c r="AP41" s="19"/>
      <c r="AQ41" s="19"/>
      <c r="AR41" s="19"/>
      <c r="AS41" s="19"/>
      <c r="AT41" s="19"/>
      <c r="AU41" s="19"/>
      <c r="AV41" s="19"/>
      <c r="AW41" s="19"/>
      <c r="AX41" s="19"/>
      <c r="AY41" s="19"/>
    </row>
    <row r="42" spans="1:51" ht="12.9" customHeight="1">
      <c r="A42" s="25"/>
      <c r="B42" s="25"/>
      <c r="C42" s="25"/>
      <c r="D42" s="25"/>
      <c r="E42" s="25"/>
      <c r="F42" s="25"/>
      <c r="G42" s="25"/>
      <c r="H42" s="25"/>
      <c r="I42" s="25"/>
      <c r="J42" s="25"/>
      <c r="AJ42" s="19"/>
      <c r="AK42" s="19"/>
      <c r="AL42" s="19"/>
      <c r="AM42" s="19"/>
      <c r="AN42" s="19"/>
      <c r="AO42" s="19"/>
      <c r="AP42" s="19"/>
      <c r="AQ42" s="19"/>
      <c r="AR42" s="19"/>
      <c r="AS42" s="19"/>
      <c r="AT42" s="19"/>
      <c r="AU42" s="19"/>
      <c r="AV42" s="19"/>
      <c r="AW42" s="19"/>
      <c r="AX42" s="19"/>
      <c r="AY42" s="19"/>
    </row>
    <row r="43" spans="1:51" ht="12.9" customHeight="1">
      <c r="A43" s="25"/>
      <c r="B43" s="25"/>
      <c r="C43" s="25"/>
      <c r="D43" s="25"/>
      <c r="E43" s="25"/>
      <c r="F43" s="25"/>
      <c r="G43" s="25"/>
      <c r="H43" s="25"/>
      <c r="I43" s="25"/>
      <c r="J43" s="25"/>
      <c r="AJ43" s="19"/>
      <c r="AK43" s="19"/>
      <c r="AL43" s="19"/>
      <c r="AM43" s="19"/>
      <c r="AN43" s="19"/>
      <c r="AO43" s="19"/>
      <c r="AP43" s="19"/>
      <c r="AQ43" s="19"/>
      <c r="AR43" s="19"/>
      <c r="AS43" s="19"/>
      <c r="AT43" s="19"/>
      <c r="AU43" s="19"/>
      <c r="AV43" s="19"/>
      <c r="AW43" s="19"/>
      <c r="AX43" s="19"/>
      <c r="AY43" s="19"/>
    </row>
    <row r="44" spans="1:51" ht="12.9" customHeight="1">
      <c r="A44" s="12"/>
      <c r="B44" s="12"/>
      <c r="C44" s="12"/>
      <c r="D44" s="12"/>
      <c r="E44" s="12"/>
      <c r="F44" s="12"/>
      <c r="G44" s="12"/>
      <c r="H44" s="12"/>
      <c r="I44" s="12"/>
      <c r="J44" s="12"/>
      <c r="AJ44" s="19"/>
      <c r="AK44" s="19"/>
      <c r="AL44" s="19"/>
      <c r="AM44" s="19"/>
      <c r="AN44" s="19"/>
      <c r="AO44" s="19"/>
      <c r="AP44" s="19"/>
      <c r="AQ44" s="19"/>
      <c r="AR44" s="19"/>
      <c r="AS44" s="19"/>
      <c r="AT44" s="19"/>
      <c r="AU44" s="19"/>
      <c r="AV44" s="19"/>
      <c r="AW44" s="19"/>
      <c r="AX44" s="19"/>
      <c r="AY44" s="19"/>
    </row>
    <row r="45" spans="1:51" ht="12.9" customHeight="1">
      <c r="B45" s="25"/>
      <c r="C45" s="25"/>
      <c r="D45" s="25"/>
      <c r="E45" s="25"/>
      <c r="F45" s="25"/>
      <c r="G45" s="25"/>
      <c r="H45" s="25"/>
      <c r="I45" s="25"/>
      <c r="J45" s="25"/>
      <c r="AJ45" s="19"/>
      <c r="AK45" s="19"/>
      <c r="AL45" s="19"/>
      <c r="AM45" s="19"/>
      <c r="AN45" s="19"/>
      <c r="AO45" s="19"/>
      <c r="AP45" s="19"/>
      <c r="AQ45" s="19"/>
      <c r="AR45" s="19"/>
      <c r="AS45" s="19"/>
      <c r="AT45" s="19"/>
      <c r="AU45" s="19"/>
      <c r="AV45" s="19"/>
      <c r="AW45" s="19"/>
      <c r="AX45" s="19"/>
      <c r="AY45" s="19"/>
    </row>
    <row r="46" spans="1:51" ht="12.9" customHeight="1">
      <c r="A46" s="25"/>
      <c r="B46" s="25"/>
      <c r="C46" s="25"/>
      <c r="D46" s="25"/>
      <c r="E46" s="25"/>
      <c r="F46" s="25"/>
      <c r="G46" s="25"/>
      <c r="H46" s="25"/>
      <c r="I46" s="25"/>
      <c r="J46" s="25"/>
      <c r="AJ46" s="19"/>
      <c r="AK46" s="19"/>
      <c r="AL46" s="19"/>
      <c r="AM46" s="19"/>
      <c r="AN46" s="19"/>
      <c r="AO46" s="19"/>
      <c r="AP46" s="19"/>
      <c r="AQ46" s="19"/>
      <c r="AR46" s="19"/>
      <c r="AS46" s="19"/>
      <c r="AT46" s="19"/>
      <c r="AU46" s="19"/>
      <c r="AV46" s="19"/>
      <c r="AW46" s="19"/>
      <c r="AX46" s="19"/>
      <c r="AY46" s="19"/>
    </row>
    <row r="47" spans="1:51" ht="12.9" customHeight="1">
      <c r="A47" s="25"/>
      <c r="B47" s="25"/>
      <c r="C47" s="25"/>
      <c r="D47" s="25"/>
      <c r="E47" s="25"/>
      <c r="F47" s="25"/>
      <c r="G47" s="25"/>
      <c r="H47" s="25"/>
      <c r="I47" s="25"/>
      <c r="J47" s="25"/>
      <c r="AJ47" s="19"/>
      <c r="AK47" s="19"/>
      <c r="AL47" s="19"/>
      <c r="AM47" s="19"/>
      <c r="AN47" s="19"/>
      <c r="AO47" s="19"/>
      <c r="AP47" s="19"/>
      <c r="AQ47" s="19"/>
      <c r="AR47" s="19"/>
      <c r="AS47" s="19"/>
      <c r="AT47" s="19"/>
      <c r="AU47" s="19"/>
      <c r="AV47" s="19"/>
      <c r="AW47" s="19"/>
      <c r="AX47" s="19"/>
      <c r="AY47" s="19"/>
    </row>
    <row r="48" spans="1:51" ht="12.9" customHeight="1">
      <c r="A48" s="25"/>
      <c r="B48" s="25"/>
      <c r="C48" s="25"/>
      <c r="D48" s="25"/>
      <c r="E48" s="25"/>
      <c r="F48" s="25"/>
      <c r="G48" s="25"/>
      <c r="H48" s="25"/>
      <c r="I48" s="25"/>
      <c r="J48" s="25"/>
      <c r="AJ48" s="19"/>
      <c r="AK48" s="19"/>
      <c r="AL48" s="19"/>
      <c r="AM48" s="19"/>
      <c r="AN48" s="19"/>
      <c r="AO48" s="19"/>
      <c r="AP48" s="19"/>
      <c r="AQ48" s="19"/>
      <c r="AR48" s="19"/>
      <c r="AS48" s="19"/>
      <c r="AT48" s="19"/>
      <c r="AU48" s="19"/>
      <c r="AV48" s="19"/>
      <c r="AW48" s="19"/>
      <c r="AX48" s="19"/>
      <c r="AY48" s="19"/>
    </row>
    <row r="49" spans="1:51" ht="12.9" customHeight="1">
      <c r="A49" s="25"/>
      <c r="B49" s="25"/>
      <c r="C49" s="25"/>
      <c r="D49" s="25"/>
      <c r="E49" s="25"/>
      <c r="F49" s="25"/>
      <c r="G49" s="25"/>
      <c r="H49" s="25"/>
      <c r="I49" s="25"/>
      <c r="J49" s="25"/>
      <c r="K49" s="30"/>
      <c r="AJ49" s="19"/>
      <c r="AK49" s="19"/>
      <c r="AL49" s="19"/>
      <c r="AM49" s="19"/>
      <c r="AN49" s="19"/>
      <c r="AO49" s="19"/>
      <c r="AP49" s="19"/>
      <c r="AQ49" s="19"/>
      <c r="AR49" s="19"/>
      <c r="AS49" s="19"/>
      <c r="AT49" s="19"/>
      <c r="AU49" s="19"/>
      <c r="AV49" s="19"/>
      <c r="AW49" s="19"/>
      <c r="AX49" s="19"/>
      <c r="AY49" s="19"/>
    </row>
    <row r="50" spans="1:51" ht="12.9" customHeight="1">
      <c r="A50" s="25"/>
      <c r="B50" s="25"/>
      <c r="C50" s="23"/>
      <c r="D50" s="25"/>
      <c r="E50" s="25"/>
      <c r="F50" s="23"/>
      <c r="G50" s="25"/>
      <c r="H50" s="25"/>
      <c r="I50" s="23"/>
      <c r="J50" s="25"/>
      <c r="AJ50" s="19"/>
      <c r="AK50" s="19"/>
      <c r="AL50" s="19"/>
      <c r="AM50" s="19"/>
      <c r="AN50" s="19"/>
      <c r="AO50" s="19"/>
      <c r="AP50" s="19"/>
      <c r="AQ50" s="19"/>
      <c r="AR50" s="19"/>
      <c r="AS50" s="19"/>
      <c r="AT50" s="19"/>
      <c r="AU50" s="19"/>
      <c r="AV50" s="19"/>
      <c r="AW50" s="19"/>
      <c r="AX50" s="19"/>
      <c r="AY50" s="19"/>
    </row>
    <row r="51" spans="1:51" ht="12.9" customHeight="1">
      <c r="A51" s="25"/>
      <c r="B51" s="25"/>
      <c r="C51" s="25"/>
      <c r="D51" s="25"/>
      <c r="E51" s="25"/>
      <c r="F51" s="25"/>
      <c r="G51" s="25"/>
      <c r="H51" s="25"/>
      <c r="I51" s="25"/>
      <c r="J51" s="25"/>
      <c r="AJ51" s="19"/>
      <c r="AK51" s="19"/>
      <c r="AL51" s="19"/>
      <c r="AM51" s="19"/>
      <c r="AN51" s="19"/>
      <c r="AO51" s="19"/>
      <c r="AP51" s="19"/>
      <c r="AQ51" s="19"/>
      <c r="AR51" s="19"/>
      <c r="AS51" s="19"/>
      <c r="AT51" s="19"/>
      <c r="AU51" s="19"/>
      <c r="AV51" s="19"/>
      <c r="AW51" s="19"/>
      <c r="AX51" s="19"/>
      <c r="AY51" s="19"/>
    </row>
    <row r="52" spans="1:51" ht="12.9" customHeight="1">
      <c r="A52" s="25"/>
      <c r="B52" s="25"/>
      <c r="C52" s="25"/>
      <c r="D52" s="25"/>
      <c r="E52" s="25"/>
      <c r="F52" s="25"/>
      <c r="G52" s="25"/>
      <c r="H52" s="25"/>
      <c r="I52" s="25"/>
      <c r="J52" s="25"/>
    </row>
    <row r="53" spans="1:51" ht="12.9" customHeight="1">
      <c r="A53" s="25"/>
      <c r="B53" s="25"/>
      <c r="C53" s="25"/>
      <c r="D53" s="25"/>
      <c r="E53" s="25"/>
      <c r="F53" s="25"/>
      <c r="G53" s="25"/>
      <c r="H53" s="25"/>
      <c r="I53" s="25"/>
      <c r="J53" s="25"/>
    </row>
    <row r="54" spans="1:51" ht="12.9" customHeight="1">
      <c r="A54" s="25"/>
      <c r="B54" s="25"/>
      <c r="C54" s="25"/>
      <c r="D54" s="25"/>
      <c r="E54" s="25"/>
      <c r="F54" s="25"/>
      <c r="G54" s="25"/>
      <c r="H54" s="25"/>
      <c r="I54" s="25"/>
      <c r="J54" s="25"/>
    </row>
    <row r="55" spans="1:51" ht="12.9" customHeight="1">
      <c r="A55" s="25"/>
      <c r="B55" s="25"/>
      <c r="C55" s="25"/>
      <c r="D55" s="25"/>
      <c r="E55" s="25"/>
      <c r="F55" s="25"/>
      <c r="G55" s="25"/>
      <c r="H55" s="25"/>
      <c r="I55" s="25"/>
      <c r="J55" s="25"/>
    </row>
    <row r="56" spans="1:51" ht="12.9" customHeight="1">
      <c r="A56" s="25"/>
      <c r="B56" s="25"/>
      <c r="C56" s="25"/>
      <c r="D56" s="25"/>
      <c r="E56" s="25"/>
      <c r="F56" s="25"/>
      <c r="G56" s="25"/>
      <c r="H56" s="25"/>
      <c r="I56" s="25"/>
      <c r="J56" s="25"/>
      <c r="O56" s="20"/>
    </row>
    <row r="57" spans="1:51" ht="12.9" customHeight="1">
      <c r="A57" s="25"/>
      <c r="B57" s="25"/>
      <c r="C57" s="25"/>
      <c r="D57" s="25"/>
      <c r="E57" s="25"/>
      <c r="F57" s="25"/>
      <c r="G57" s="25"/>
      <c r="H57" s="25"/>
      <c r="I57" s="25"/>
      <c r="J57" s="25"/>
      <c r="L57" s="21"/>
      <c r="M57" s="21"/>
      <c r="N57" s="21"/>
      <c r="O57" s="20"/>
    </row>
    <row r="58" spans="1:51" ht="12.9" customHeight="1">
      <c r="A58" s="25"/>
      <c r="B58" s="25"/>
      <c r="C58" s="25"/>
      <c r="D58" s="25"/>
      <c r="E58" s="25"/>
      <c r="F58" s="25"/>
      <c r="G58" s="25"/>
      <c r="H58" s="25"/>
      <c r="I58" s="25"/>
      <c r="J58" s="25"/>
      <c r="L58" s="14"/>
      <c r="M58" s="14"/>
      <c r="N58" s="14"/>
      <c r="O58" s="20"/>
    </row>
    <row r="59" spans="1:51" ht="12.9" customHeight="1">
      <c r="A59" s="25"/>
      <c r="B59" s="25"/>
      <c r="C59" s="25"/>
      <c r="D59" s="25"/>
      <c r="E59" s="25"/>
      <c r="F59" s="25"/>
      <c r="G59" s="25"/>
      <c r="H59" s="25"/>
      <c r="I59" s="25"/>
      <c r="J59" s="25"/>
      <c r="L59" s="15"/>
      <c r="M59" s="15"/>
      <c r="N59" s="15"/>
      <c r="O59" s="20"/>
    </row>
    <row r="60" spans="1:51" ht="12.9" customHeight="1">
      <c r="A60" s="12"/>
      <c r="B60" s="25"/>
      <c r="C60" s="25"/>
      <c r="D60" s="25"/>
      <c r="E60" s="31"/>
      <c r="F60" s="25"/>
      <c r="G60" s="25"/>
      <c r="H60" s="31"/>
      <c r="I60" s="25"/>
      <c r="J60" s="25"/>
      <c r="L60" s="32"/>
      <c r="M60" s="32"/>
      <c r="N60" s="32"/>
      <c r="O60" s="22"/>
    </row>
    <row r="61" spans="1:51" ht="12.9" customHeight="1">
      <c r="A61" s="25"/>
      <c r="B61" s="25"/>
      <c r="C61" s="25"/>
      <c r="D61" s="25"/>
      <c r="E61" s="25"/>
      <c r="F61" s="25"/>
      <c r="G61" s="25"/>
      <c r="H61" s="25"/>
      <c r="I61" s="25"/>
      <c r="J61" s="25"/>
      <c r="O61" s="33"/>
    </row>
    <row r="62" spans="1:51" ht="12.9" customHeight="1">
      <c r="A62" s="12"/>
      <c r="B62" s="25"/>
      <c r="C62" s="25"/>
      <c r="D62" s="25"/>
      <c r="E62" s="25"/>
      <c r="F62" s="25"/>
      <c r="G62" s="25"/>
      <c r="H62" s="25"/>
      <c r="I62" s="25"/>
      <c r="J62" s="25"/>
      <c r="O62" s="33"/>
    </row>
    <row r="63" spans="1:51" ht="12.9" customHeight="1">
      <c r="A63" s="23"/>
      <c r="B63" s="23"/>
      <c r="C63" s="23"/>
      <c r="D63" s="34"/>
      <c r="E63" s="23"/>
      <c r="F63" s="23"/>
      <c r="G63" s="34"/>
      <c r="H63" s="23"/>
      <c r="I63" s="23"/>
      <c r="J63" s="34"/>
      <c r="K63" s="35"/>
      <c r="O63" s="33"/>
    </row>
    <row r="64" spans="1:51" ht="12.9" customHeight="1">
      <c r="D64" s="29"/>
      <c r="G64" s="29"/>
      <c r="J64" s="29"/>
      <c r="O64" s="33"/>
    </row>
    <row r="65" spans="1:15" ht="12.9" customHeight="1">
      <c r="A65" s="12"/>
      <c r="B65" s="12"/>
      <c r="C65" s="12"/>
      <c r="D65" s="36"/>
      <c r="E65" s="12"/>
      <c r="F65" s="12"/>
      <c r="G65" s="36"/>
      <c r="H65" s="12"/>
      <c r="I65" s="12"/>
      <c r="J65" s="36"/>
      <c r="L65" s="16"/>
      <c r="M65" s="16"/>
      <c r="N65" s="16"/>
      <c r="O65" s="33"/>
    </row>
    <row r="67" spans="1:15" ht="12.9" customHeight="1">
      <c r="L67" s="29"/>
      <c r="M67" s="29"/>
      <c r="N67" s="29"/>
    </row>
    <row r="68" spans="1:15" ht="12.9" customHeight="1">
      <c r="A68" s="12"/>
      <c r="B68" s="12"/>
      <c r="C68" s="24"/>
      <c r="D68" s="24"/>
      <c r="E68" s="12"/>
      <c r="F68" s="24"/>
      <c r="G68" s="24"/>
      <c r="H68" s="12"/>
      <c r="I68" s="12"/>
      <c r="J68" s="12"/>
    </row>
  </sheetData>
  <mergeCells count="12">
    <mergeCell ref="O7:O10"/>
    <mergeCell ref="A36:B36"/>
    <mergeCell ref="A37:B37"/>
    <mergeCell ref="A7:B7"/>
    <mergeCell ref="A8:B8"/>
    <mergeCell ref="A9:B9"/>
    <mergeCell ref="A34:B34"/>
    <mergeCell ref="A35:B35"/>
    <mergeCell ref="A31:B31"/>
    <mergeCell ref="A30:B30"/>
    <mergeCell ref="A29:B29"/>
    <mergeCell ref="A10:B10"/>
  </mergeCells>
  <dataValidations count="3">
    <dataValidation type="list" allowBlank="1" showInputMessage="1" showErrorMessage="1" sqref="A12:A16" xr:uid="{A3F8E953-5EF3-4271-A75D-DB17BC92FF57}">
      <formula1>"EUR, USD"</formula1>
    </dataValidation>
    <dataValidation type="list" allowBlank="1" showInputMessage="1" showErrorMessage="1" sqref="H3:H5" xr:uid="{5BF23EDA-AA76-482F-9ED6-6ECDA78917D7}">
      <formula1>"Yes, No"</formula1>
    </dataValidation>
    <dataValidation type="list" allowBlank="1" showInputMessage="1" showErrorMessage="1" sqref="B1" xr:uid="{94959BC3-B7E4-4261-A28E-C20358945451}">
      <formula1>"PH Trading WLL, AHS Trading WLL"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28B20719-18D2-4527-A5FE-F0E8443B447C}">
          <x14:formula1>
            <xm:f>Code!$A$30:$A$35</xm:f>
          </x14:formula1>
          <xm:sqref>C7:N7</xm:sqref>
        </x14:dataValidation>
        <x14:dataValidation type="list" allowBlank="1" showInputMessage="1" showErrorMessage="1" xr:uid="{8B024BDF-C580-47FE-B327-ABBB27CC931E}">
          <x14:formula1>
            <xm:f>Code!$A$1:$A$7</xm:f>
          </x14:formula1>
          <xm:sqref>B3</xm:sqref>
        </x14:dataValidation>
        <x14:dataValidation type="list" allowBlank="1" showInputMessage="1" showErrorMessage="1" xr:uid="{CFE03B55-430C-43C4-911F-A05D2734E5B4}">
          <x14:formula1>
            <xm:f>Code!$C$14:$C$22</xm:f>
          </x14:formula1>
          <xm:sqref>F2</xm:sqref>
        </x14:dataValidation>
        <x14:dataValidation type="list" allowBlank="1" showInputMessage="1" showErrorMessage="1" xr:uid="{9EEE3195-658F-4BEF-B4C6-E358D69411C1}">
          <x14:formula1>
            <xm:f>Code!$B$14:$B$18</xm:f>
          </x14:formula1>
          <xm:sqref>F3</xm:sqref>
        </x14:dataValidation>
        <x14:dataValidation type="list" allowBlank="1" showInputMessage="1" showErrorMessage="1" xr:uid="{8A534523-6A30-4C71-8F57-733DA68E68C6}">
          <x14:formula1>
            <xm:f>Code!$A$24:$A$27</xm:f>
          </x14:formula1>
          <xm:sqref>F4</xm:sqref>
        </x14:dataValidation>
        <x14:dataValidation type="list" allowBlank="1" showInputMessage="1" showErrorMessage="1" xr:uid="{FF7A33DC-F146-4F18-A291-F49A3C5D8119}">
          <x14:formula1>
            <xm:f>Code!$A$14:$A$21</xm:f>
          </x14:formula1>
          <xm:sqref>D5</xm:sqref>
        </x14:dataValidation>
        <x14:dataValidation type="list" allowBlank="1" showInputMessage="1" showErrorMessage="1" xr:uid="{A10EC842-52F4-4F3D-97C1-21EC89B12D10}">
          <x14:formula1>
            <xm:f>Code!$C$23:$C$31</xm:f>
          </x14:formula1>
          <xm:sqref>F5</xm:sqref>
        </x14:dataValidation>
        <x14:dataValidation type="list" allowBlank="1" showInputMessage="1" showErrorMessage="1" xr:uid="{18A621B4-0A38-47FF-B784-E43E5B6FAA85}">
          <x14:formula1>
            <xm:f>Code!$A$40:$A$42</xm:f>
          </x14:formula1>
          <xm:sqref>H1</xm:sqref>
        </x14:dataValidation>
        <x14:dataValidation type="list" allowBlank="1" showInputMessage="1" showErrorMessage="1" xr:uid="{7B7F6384-0948-469A-A454-242BCEF6860B}">
          <x14:formula1>
            <xm:f>Code!$B$40:$B$42</xm:f>
          </x14:formula1>
          <xm:sqref>H2</xm:sqref>
        </x14:dataValidation>
        <x14:dataValidation type="list" allowBlank="1" showInputMessage="1" showErrorMessage="1" xr:uid="{7460B70D-4809-43D8-A5FC-A19735D3AA7E}">
          <x14:formula1>
            <xm:f>'Customer Database'!$A:$A</xm:f>
          </x14:formula1>
          <xm:sqref>D4</xm:sqref>
        </x14:dataValidation>
        <x14:dataValidation type="list" allowBlank="1" showInputMessage="1" showErrorMessage="1" xr:uid="{846F2F78-DA7A-49C1-8531-7F197206DDBA}">
          <x14:formula1>
            <xm:f>Code!$G:$G</xm:f>
          </x14:formula1>
          <xm:sqref>B4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4789C-BDE0-40A6-A4F5-68258F3A9BEC}">
  <sheetPr>
    <outlinePr summaryBelow="0" summaryRight="0"/>
  </sheetPr>
  <dimension ref="A1:N45"/>
  <sheetViews>
    <sheetView showGridLines="0" zoomScaleNormal="100" workbookViewId="0">
      <selection activeCell="C29" sqref="C29"/>
    </sheetView>
  </sheetViews>
  <sheetFormatPr defaultColWidth="14.44140625" defaultRowHeight="15" customHeight="1"/>
  <cols>
    <col min="1" max="1" width="7" style="115" customWidth="1"/>
    <col min="2" max="2" width="40" style="115" customWidth="1"/>
    <col min="3" max="3" width="22.109375" style="115" customWidth="1"/>
    <col min="4" max="4" width="16.88671875" style="115" customWidth="1"/>
    <col min="5" max="5" width="18.33203125" style="115" customWidth="1"/>
    <col min="6" max="6" width="7.44140625" style="115" customWidth="1"/>
    <col min="7" max="7" width="6.88671875" style="115" bestFit="1" customWidth="1"/>
    <col min="8" max="8" width="20.6640625" style="115" customWidth="1"/>
    <col min="9" max="13" width="14.44140625" style="115"/>
    <col min="14" max="14" width="7.6640625" style="115" customWidth="1"/>
    <col min="15" max="16384" width="14.44140625" style="115"/>
  </cols>
  <sheetData>
    <row r="1" spans="1:14" ht="24" customHeight="1">
      <c r="D1" s="212" t="s">
        <v>0</v>
      </c>
      <c r="E1" s="212"/>
      <c r="F1" s="126"/>
      <c r="N1" s="126"/>
    </row>
    <row r="2" spans="1:14" ht="13.2">
      <c r="A2" s="115" t="s">
        <v>1</v>
      </c>
      <c r="D2" s="212"/>
      <c r="E2" s="212"/>
      <c r="F2" s="126"/>
      <c r="N2" s="126"/>
    </row>
    <row r="3" spans="1:14" ht="15" customHeight="1">
      <c r="A3" s="116" t="str">
        <f>VLOOKUP('Customer Costing'!D4,'Customer Database'!A:B,2,0)&amp;" "&amp;'Customer Costing'!D4</f>
        <v>Salutation Choose Contact Person</v>
      </c>
      <c r="B3" s="116"/>
      <c r="D3" s="118" t="s">
        <v>2</v>
      </c>
      <c r="E3" s="117">
        <f ca="1">'Customer Costing'!B2</f>
        <v>46097</v>
      </c>
      <c r="F3" s="126"/>
      <c r="N3" s="126"/>
    </row>
    <row r="4" spans="1:14" ht="13.2">
      <c r="A4" s="116" t="str">
        <f>IFERROR(VLOOKUP('Customer Costing'!D4,'Customer Database'!A:F,6,0), "Not Found")</f>
        <v>Business Account Name</v>
      </c>
      <c r="B4" s="116"/>
      <c r="D4" s="118" t="s">
        <v>3</v>
      </c>
      <c r="E4" s="118">
        <f>'Customer Costing'!D3</f>
        <v>0</v>
      </c>
      <c r="F4" s="126"/>
      <c r="G4" s="216" t="s">
        <v>4</v>
      </c>
      <c r="H4" s="216"/>
      <c r="I4" s="216"/>
      <c r="J4" s="216"/>
      <c r="K4" s="216"/>
      <c r="L4" s="216"/>
      <c r="M4" s="216"/>
      <c r="N4" s="126"/>
    </row>
    <row r="5" spans="1:14" ht="12.75" customHeight="1">
      <c r="A5" s="119" t="str">
        <f>IFERROR(VLOOKUP('Customer Costing'!D4,'Customer Database'!A:E,3,0), "Not Found")</f>
        <v>Phone</v>
      </c>
      <c r="B5" s="119"/>
      <c r="C5" s="116"/>
      <c r="D5" s="118" t="s">
        <v>5</v>
      </c>
      <c r="E5" s="117">
        <f ca="1">E3+30</f>
        <v>46127</v>
      </c>
      <c r="F5" s="126"/>
      <c r="G5" s="144" t="s">
        <v>6</v>
      </c>
      <c r="H5" s="134" t="s">
        <v>7</v>
      </c>
      <c r="I5" s="134"/>
      <c r="J5" s="134"/>
      <c r="K5" s="134"/>
      <c r="L5" s="134"/>
      <c r="M5" s="134"/>
      <c r="N5" s="126"/>
    </row>
    <row r="6" spans="1:14" ht="12.75" customHeight="1">
      <c r="A6" s="116" t="str">
        <f>IFERROR(VLOOKUP('Customer Costing'!D4,'Customer Database'!A:E,5,0), "Not Found")</f>
        <v>Address</v>
      </c>
      <c r="B6" s="116"/>
      <c r="C6" s="109"/>
      <c r="D6" s="118" t="s">
        <v>8</v>
      </c>
      <c r="E6" s="118" t="e">
        <f>VLOOKUP('Customer Costing'!B4,Code!G:K,5,0)</f>
        <v>#N/A</v>
      </c>
      <c r="F6" s="126"/>
      <c r="G6" s="144" t="s">
        <v>6</v>
      </c>
      <c r="H6" s="118" t="s">
        <v>9</v>
      </c>
      <c r="I6" s="118" t="str">
        <f>'Customer Costing'!D5</f>
        <v>Select payment terms</v>
      </c>
      <c r="J6" s="118"/>
      <c r="K6" s="118"/>
      <c r="L6" s="118"/>
      <c r="M6" s="134"/>
      <c r="N6" s="126"/>
    </row>
    <row r="7" spans="1:14" ht="12.75" customHeight="1">
      <c r="A7" s="116"/>
      <c r="B7" s="116"/>
      <c r="C7" s="120"/>
      <c r="D7" s="118" t="s">
        <v>10</v>
      </c>
      <c r="E7" s="118" t="str">
        <f>'Customer Costing'!B3</f>
        <v>Quote Prepared By</v>
      </c>
      <c r="F7" s="126"/>
      <c r="G7" s="144" t="s">
        <v>6</v>
      </c>
      <c r="H7" s="118" t="s">
        <v>11</v>
      </c>
      <c r="I7" s="118" t="str">
        <f>IF('Customer Costing'!F4="General",Code!D15,IF('Customer Costing'!F4="spareparts",Code!D16,IF('Customer Costing'!F4="items+spareparts",Code!D15&amp;". "&amp;Code!D16,"Please Select Est. Delivery in costing")))</f>
        <v>Please Select Est. Delivery in costing</v>
      </c>
      <c r="J7" s="118"/>
      <c r="K7" s="118"/>
      <c r="L7" s="118"/>
      <c r="M7" s="134"/>
      <c r="N7" s="126"/>
    </row>
    <row r="8" spans="1:14" ht="12.75" customHeight="1">
      <c r="A8" s="160"/>
      <c r="B8" s="116"/>
      <c r="C8" s="120"/>
      <c r="F8" s="126"/>
      <c r="G8" s="144" t="s">
        <v>6</v>
      </c>
      <c r="H8" s="118" t="s">
        <v>12</v>
      </c>
      <c r="I8" s="118" t="s">
        <v>13</v>
      </c>
      <c r="J8" s="118"/>
      <c r="K8" s="118"/>
      <c r="L8" s="118"/>
      <c r="M8" s="134"/>
      <c r="N8" s="126"/>
    </row>
    <row r="9" spans="1:14" ht="12.75" customHeight="1">
      <c r="A9" s="121" t="s">
        <v>14</v>
      </c>
      <c r="B9" s="121"/>
      <c r="C9" s="121"/>
      <c r="F9" s="126"/>
      <c r="G9" s="144" t="s">
        <v>6</v>
      </c>
      <c r="H9" s="118" t="s">
        <v>15</v>
      </c>
      <c r="I9" s="118" t="str">
        <f>"Approx. "&amp;" "&amp;'Customer Costing'!F2&amp;"; exact period confirmed after order placement."</f>
        <v>Approx.  To be Known after order is placed; exact period confirmed after order placement.</v>
      </c>
      <c r="J9" s="118"/>
      <c r="K9" s="118"/>
      <c r="L9" s="118"/>
      <c r="M9" s="134"/>
      <c r="N9" s="126"/>
    </row>
    <row r="10" spans="1:14" ht="25.5" customHeight="1">
      <c r="A10" s="217" t="str">
        <f>"Your Reference"&amp;": "&amp;'Customer Costing'!D1</f>
        <v>Your Reference: [Input Manually]</v>
      </c>
      <c r="B10" s="217"/>
      <c r="C10" s="217"/>
      <c r="D10" s="217"/>
      <c r="E10" s="217"/>
      <c r="F10" s="126"/>
      <c r="G10" s="144" t="s">
        <v>6</v>
      </c>
      <c r="H10" s="118" t="s">
        <v>16</v>
      </c>
      <c r="I10" s="118" t="str">
        <f>'Customer Costing'!F3</f>
        <v>DAP Bahrain at your store or PH Trading</v>
      </c>
      <c r="J10" s="118"/>
      <c r="K10" s="118"/>
      <c r="L10" s="118"/>
      <c r="M10" s="134"/>
      <c r="N10" s="126"/>
    </row>
    <row r="11" spans="1:14" ht="12.75" customHeight="1">
      <c r="A11" s="213" t="s">
        <v>17</v>
      </c>
      <c r="B11" s="213"/>
      <c r="C11" s="213"/>
      <c r="D11" s="213"/>
      <c r="E11" s="213"/>
      <c r="F11" s="126"/>
      <c r="G11" s="144" t="s">
        <v>6</v>
      </c>
      <c r="H11" s="118" t="s">
        <v>18</v>
      </c>
      <c r="I11" s="118" t="str">
        <f>IF('Customer Costing'!H3="No","Excluded / not in our scope","Check Quotation for pricing")</f>
        <v>Excluded / not in our scope</v>
      </c>
      <c r="J11" s="134"/>
      <c r="K11" s="118"/>
      <c r="L11" s="118"/>
      <c r="M11" s="134"/>
      <c r="N11" s="126"/>
    </row>
    <row r="12" spans="1:14" ht="12.75" customHeight="1">
      <c r="A12" s="213"/>
      <c r="B12" s="213"/>
      <c r="C12" s="213"/>
      <c r="D12" s="213"/>
      <c r="E12" s="213"/>
      <c r="F12" s="126"/>
      <c r="G12" s="144" t="s">
        <v>6</v>
      </c>
      <c r="H12" s="176" t="s">
        <v>19</v>
      </c>
      <c r="I12" s="118" t="str">
        <f>IF('Customer Costing'!H4="No","Excluded / not in our scope","Check Quotation for pricing")</f>
        <v>Excluded / not in our scope</v>
      </c>
      <c r="J12" s="118"/>
      <c r="K12" s="134"/>
      <c r="L12" s="118"/>
      <c r="M12" s="134"/>
      <c r="N12" s="126"/>
    </row>
    <row r="13" spans="1:14" ht="12.75" customHeight="1">
      <c r="A13" s="213"/>
      <c r="B13" s="213"/>
      <c r="C13" s="213"/>
      <c r="D13" s="213"/>
      <c r="E13" s="213"/>
      <c r="F13" s="126"/>
      <c r="G13" s="144" t="s">
        <v>6</v>
      </c>
      <c r="H13" s="177" t="s">
        <v>20</v>
      </c>
      <c r="I13" s="118" t="str">
        <f>IF('Customer Costing'!H5="No","Excluded / not in our scope","Check Quotation for pricing")</f>
        <v>Excluded / not in our scope</v>
      </c>
      <c r="J13" s="118"/>
      <c r="K13" s="118"/>
      <c r="L13" s="118"/>
      <c r="M13" s="134"/>
      <c r="N13" s="126"/>
    </row>
    <row r="14" spans="1:14" ht="13.8">
      <c r="A14" s="213"/>
      <c r="B14" s="213"/>
      <c r="C14" s="213"/>
      <c r="D14" s="213"/>
      <c r="E14" s="213"/>
      <c r="F14" s="126"/>
      <c r="G14" s="144" t="s">
        <v>6</v>
      </c>
      <c r="H14" s="115" t="s">
        <v>21</v>
      </c>
      <c r="I14" s="118" t="str">
        <f>VLOOKUP('Customer Costing'!H1,Code!A40:B42,2,0)</f>
        <v xml:space="preserve">Additional charges applicable as per OEM terms </v>
      </c>
      <c r="J14" s="118"/>
      <c r="K14" s="118"/>
      <c r="L14" s="118"/>
      <c r="M14" s="134"/>
      <c r="N14" s="126"/>
    </row>
    <row r="15" spans="1:14" ht="13.8">
      <c r="A15" s="171"/>
      <c r="B15" s="171"/>
      <c r="C15" s="171"/>
      <c r="D15" s="171"/>
      <c r="E15" s="171"/>
      <c r="F15" s="126"/>
      <c r="G15" s="144" t="s">
        <v>6</v>
      </c>
      <c r="H15" s="115" t="s">
        <v>22</v>
      </c>
      <c r="I15" s="134" t="str">
        <f>VLOOKUP('Customer Costing'!H1,Code!A40:B42,2,0)</f>
        <v xml:space="preserve">Additional charges applicable as per OEM terms </v>
      </c>
      <c r="J15" s="134"/>
      <c r="K15" s="118"/>
      <c r="L15" s="118"/>
      <c r="M15" s="134"/>
      <c r="N15" s="126"/>
    </row>
    <row r="16" spans="1:14" ht="13.8">
      <c r="A16" s="1" t="s">
        <v>23</v>
      </c>
      <c r="B16" s="1" t="s">
        <v>24</v>
      </c>
      <c r="C16" s="2" t="s">
        <v>25</v>
      </c>
      <c r="D16" s="2" t="s">
        <v>26</v>
      </c>
      <c r="E16" s="2" t="s">
        <v>27</v>
      </c>
      <c r="F16" s="126"/>
      <c r="G16" s="144" t="s">
        <v>6</v>
      </c>
      <c r="H16" s="134" t="s">
        <v>28</v>
      </c>
      <c r="I16" s="134" t="str">
        <f>VLOOKUP('Customer Costing'!F5,Code!C23:D30,2,0)</f>
        <v>Select Country</v>
      </c>
      <c r="J16" s="134"/>
      <c r="K16" s="134"/>
      <c r="L16" s="134"/>
      <c r="M16" s="134"/>
      <c r="N16" s="126"/>
    </row>
    <row r="17" spans="1:14" ht="39.6">
      <c r="A17" s="122">
        <v>1</v>
      </c>
      <c r="B17" s="122" t="str">
        <f>'PH to AHS'!C$8&amp;CHAR(10)&amp;'PH to AHS'!C$9&amp;CHAR(10)&amp;'PH to AHS'!C$10</f>
        <v xml:space="preserve"> [Product 1]     
 [Model 1]     
 [Specifiation 1]    </v>
      </c>
      <c r="C17" s="110">
        <f>'PH to AHS'!$C$27</f>
        <v>712.76</v>
      </c>
      <c r="D17" s="123">
        <f>'Customer Costing'!C$11</f>
        <v>1</v>
      </c>
      <c r="E17" s="111">
        <f>C17*D17</f>
        <v>712.76</v>
      </c>
      <c r="F17" s="126"/>
      <c r="G17" s="144" t="s">
        <v>6</v>
      </c>
      <c r="H17" s="134" t="s">
        <v>29</v>
      </c>
      <c r="I17" s="134" t="str">
        <f>VLOOKUP('Customer Costing'!H1,Code!A40:B42,2,0)</f>
        <v xml:space="preserve">Additional charges applicable as per OEM terms </v>
      </c>
      <c r="J17" s="134"/>
      <c r="K17" s="134"/>
      <c r="L17" s="134"/>
      <c r="M17" s="134"/>
      <c r="N17" s="126"/>
    </row>
    <row r="18" spans="1:14" ht="39.6">
      <c r="A18" s="122">
        <v>2</v>
      </c>
      <c r="B18" s="122" t="str">
        <f>'PH to AHS'!D$8&amp;CHAR(10)&amp;'PH to AHS'!D$9&amp;CHAR(10)&amp;'PH to AHS'!D$10</f>
        <v xml:space="preserve"> [Product 2]     
 [Model 2]     
 [Specifiation 2]    </v>
      </c>
      <c r="C18" s="110">
        <f>'PH to AHS'!$D$27</f>
        <v>233.81</v>
      </c>
      <c r="D18" s="123">
        <f>'Customer Costing'!D$11</f>
        <v>1</v>
      </c>
      <c r="E18" s="111">
        <f t="shared" ref="E18:E25" si="0">C18*D18</f>
        <v>233.81</v>
      </c>
      <c r="F18" s="126"/>
      <c r="G18" s="144" t="s">
        <v>6</v>
      </c>
      <c r="H18" s="177" t="s">
        <v>30</v>
      </c>
      <c r="J18" s="134"/>
      <c r="K18" s="134"/>
      <c r="L18" s="134"/>
      <c r="M18" s="134"/>
      <c r="N18" s="126"/>
    </row>
    <row r="19" spans="1:14" ht="15" customHeight="1">
      <c r="A19" s="122">
        <v>3</v>
      </c>
      <c r="B19" s="122" t="str">
        <f>'PH to AHS'!E$8&amp;CHAR(10)&amp;'PH to AHS'!E$9&amp;CHAR(10)&amp;'PH to AHS'!E$10</f>
        <v xml:space="preserve"> [Product 3]     
 [Model 3]     
 [Specifiation 3]    </v>
      </c>
      <c r="C19" s="110">
        <f>'PH to AHS'!$E$27</f>
        <v>342.99</v>
      </c>
      <c r="D19" s="123">
        <f>'Customer Costing'!E$11</f>
        <v>1</v>
      </c>
      <c r="E19" s="111">
        <f t="shared" si="0"/>
        <v>342.99</v>
      </c>
      <c r="F19" s="126"/>
      <c r="G19" s="144" t="s">
        <v>6</v>
      </c>
      <c r="H19" s="118" t="s">
        <v>31</v>
      </c>
      <c r="I19" s="134"/>
      <c r="J19" s="134"/>
      <c r="K19" s="134"/>
      <c r="L19" s="134"/>
      <c r="M19" s="134"/>
      <c r="N19" s="126"/>
    </row>
    <row r="20" spans="1:14" ht="24" customHeight="1">
      <c r="A20" s="122">
        <v>4</v>
      </c>
      <c r="B20" s="122" t="str">
        <f>'PH to AHS'!F$8&amp;CHAR(10)&amp;'PH to AHS'!F$9&amp;CHAR(10)&amp;'PH to AHS'!F$10</f>
        <v xml:space="preserve"> [Product 4]     
 [Model 4]     
 [Specifiation 4]    </v>
      </c>
      <c r="C20" s="110">
        <f>'PH to AHS'!$F$27</f>
        <v>0</v>
      </c>
      <c r="D20" s="123">
        <f>'Customer Costing'!F$11</f>
        <v>0</v>
      </c>
      <c r="E20" s="111">
        <f t="shared" si="0"/>
        <v>0</v>
      </c>
      <c r="F20" s="126"/>
      <c r="G20" s="144" t="s">
        <v>6</v>
      </c>
      <c r="H20" s="213" t="s">
        <v>32</v>
      </c>
      <c r="I20" s="213"/>
      <c r="J20" s="213"/>
      <c r="K20" s="213"/>
      <c r="L20" s="213"/>
      <c r="M20" s="134"/>
      <c r="N20" s="126"/>
    </row>
    <row r="21" spans="1:14" ht="39.6">
      <c r="A21" s="122">
        <v>5</v>
      </c>
      <c r="B21" s="122" t="str">
        <f>'PH to AHS'!G$8&amp;CHAR(10)&amp;'PH to AHS'!G$9&amp;CHAR(10)&amp;'PH to AHS'!G$10</f>
        <v xml:space="preserve"> [Product 5]     
 [Model 5]     
 [Specifiation 5]    </v>
      </c>
      <c r="C21" s="110">
        <f>'PH to AHS'!$G$27</f>
        <v>0</v>
      </c>
      <c r="D21" s="123">
        <f>'Customer Costing'!G$11</f>
        <v>0</v>
      </c>
      <c r="E21" s="111">
        <f t="shared" si="0"/>
        <v>0</v>
      </c>
      <c r="F21" s="126"/>
      <c r="G21" s="144"/>
      <c r="H21" s="213"/>
      <c r="I21" s="213"/>
      <c r="J21" s="213"/>
      <c r="K21" s="213"/>
      <c r="L21" s="213"/>
      <c r="M21" s="134"/>
      <c r="N21" s="126"/>
    </row>
    <row r="22" spans="1:14" ht="15" customHeight="1">
      <c r="A22" s="122">
        <v>6</v>
      </c>
      <c r="B22" s="122" t="str">
        <f>'PH to AHS'!H$8&amp;CHAR(10)&amp;'PH to AHS'!H$9&amp;CHAR(10)&amp;'PH to AHS'!H$10</f>
        <v xml:space="preserve"> [Product 6]     
 [Model 6]     
 [Specifiation 6]    </v>
      </c>
      <c r="C22" s="110">
        <f>'PH to AHS'!$H$27</f>
        <v>0</v>
      </c>
      <c r="D22" s="123">
        <f>'Customer Costing'!H$11</f>
        <v>0</v>
      </c>
      <c r="E22" s="111">
        <f t="shared" si="0"/>
        <v>0</v>
      </c>
      <c r="F22" s="126"/>
      <c r="G22" s="144"/>
      <c r="H22" s="134" t="s">
        <v>33</v>
      </c>
      <c r="I22" s="134"/>
      <c r="J22" s="134"/>
      <c r="K22" s="134"/>
      <c r="L22" s="134"/>
      <c r="M22" s="134"/>
      <c r="N22" s="126"/>
    </row>
    <row r="23" spans="1:14" ht="15" customHeight="1">
      <c r="A23" s="122">
        <v>7</v>
      </c>
      <c r="B23" s="122" t="str">
        <f>'PH to AHS'!I$8&amp;CHAR(10)&amp;'PH to AHS'!I$9&amp;CHAR(10)&amp;'PH to AHS'!I$10</f>
        <v xml:space="preserve"> [Product 7]     
 [Model 7]     
 [Specifiation 7]    </v>
      </c>
      <c r="C23" s="110">
        <f>'PH to AHS'!$I$27</f>
        <v>0</v>
      </c>
      <c r="D23" s="123">
        <f>'Customer Costing'!I$11</f>
        <v>0</v>
      </c>
      <c r="E23" s="111">
        <f t="shared" si="0"/>
        <v>0</v>
      </c>
      <c r="F23" s="126"/>
      <c r="G23" s="142"/>
      <c r="N23" s="126"/>
    </row>
    <row r="24" spans="1:14" ht="15" customHeight="1">
      <c r="A24" s="122">
        <v>8</v>
      </c>
      <c r="B24" s="122" t="str">
        <f>'PH to AHS'!J$8&amp;CHAR(10)&amp;'PH to AHS'!J$9&amp;CHAR(10)&amp;'PH to AHS'!J$10</f>
        <v xml:space="preserve"> [Product 8]     
 [Model 8]     
 [Specifiation 8]    </v>
      </c>
      <c r="C24" s="110">
        <f>'PH to AHS'!$J$27</f>
        <v>0</v>
      </c>
      <c r="D24" s="123">
        <f>'Customer Costing'!J$11</f>
        <v>0</v>
      </c>
      <c r="E24" s="111">
        <f t="shared" si="0"/>
        <v>0</v>
      </c>
      <c r="F24" s="126"/>
      <c r="H24" s="177" t="s">
        <v>34</v>
      </c>
      <c r="N24" s="126"/>
    </row>
    <row r="25" spans="1:14" ht="15" customHeight="1">
      <c r="A25" s="122">
        <v>9</v>
      </c>
      <c r="B25" s="122" t="str">
        <f>'PH to AHS'!K$8&amp;CHAR(10)&amp;'PH to AHS'!K$9&amp;CHAR(10)&amp;'PH to AHS'!K$10</f>
        <v xml:space="preserve"> [Product 9]     
 [Model 9]     
 [Specifiation 9]    </v>
      </c>
      <c r="C25" s="110">
        <f>'PH to AHS'!$K$27</f>
        <v>0</v>
      </c>
      <c r="D25" s="123">
        <f>'Customer Costing'!K$11</f>
        <v>0</v>
      </c>
      <c r="E25" s="111">
        <f t="shared" si="0"/>
        <v>0</v>
      </c>
      <c r="F25" s="126"/>
      <c r="H25" s="177" t="str">
        <f>E7</f>
        <v>Quote Prepared By</v>
      </c>
      <c r="N25" s="126"/>
    </row>
    <row r="26" spans="1:14" ht="15" customHeight="1">
      <c r="A26" s="122">
        <v>10</v>
      </c>
      <c r="B26" s="122" t="str">
        <f>'PH to AHS'!L$8&amp;CHAR(10)&amp;'PH to AHS'!L$9&amp;CHAR(10)&amp;'PH to AHS'!L$10</f>
        <v xml:space="preserve"> [Product 10]     
 [Model 10]     
 [Specifiation 10]    </v>
      </c>
      <c r="C26" s="110">
        <f>'PH to AHS'!$L$27</f>
        <v>0</v>
      </c>
      <c r="D26" s="123">
        <f>'Customer Costing'!L$11</f>
        <v>0</v>
      </c>
      <c r="E26" s="111">
        <f>C26*D26</f>
        <v>0</v>
      </c>
      <c r="F26" s="126"/>
      <c r="H26" s="177" t="str">
        <f>VLOOKUP(H25,Code!A1:B7,2,0)</f>
        <v>Designation</v>
      </c>
      <c r="N26" s="126"/>
    </row>
    <row r="27" spans="1:14" ht="15" customHeight="1">
      <c r="A27" s="122">
        <v>11</v>
      </c>
      <c r="B27" s="122" t="str">
        <f>'PH to AHS'!M$8&amp;CHAR(10)&amp;'PH to AHS'!M$9&amp;CHAR(10)&amp;'PH to AHS'!M$10</f>
        <v xml:space="preserve"> [Product 11]     
 [Model 11]     
 [Specifiation 11]    </v>
      </c>
      <c r="C27" s="110">
        <f>'PH to AHS'!$M$27</f>
        <v>0</v>
      </c>
      <c r="D27" s="123">
        <f>'Customer Costing'!M$11</f>
        <v>0</v>
      </c>
      <c r="E27" s="111">
        <f t="shared" ref="E27:E28" si="1">C27*D27</f>
        <v>0</v>
      </c>
      <c r="F27" s="126"/>
      <c r="H27" s="177" t="str">
        <f>"Mob: "&amp;VLOOKUP(H25,Code!A1:D8,3,0)</f>
        <v>Mob: Contact Number</v>
      </c>
      <c r="N27" s="126"/>
    </row>
    <row r="28" spans="1:14" ht="15" customHeight="1">
      <c r="A28" s="122">
        <v>12</v>
      </c>
      <c r="B28" s="122" t="str">
        <f>'PH to AHS'!N$8&amp;CHAR(10)&amp;'PH to AHS'!N$9&amp;CHAR(10)&amp;'PH to AHS'!N$10</f>
        <v xml:space="preserve"> [Product 12]     
 [Model 12]     
 [Specifiation 12]    </v>
      </c>
      <c r="C28" s="110">
        <f>'PH to AHS'!$N$27</f>
        <v>0</v>
      </c>
      <c r="D28" s="123">
        <f>'Customer Costing'!N$11</f>
        <v>0</v>
      </c>
      <c r="E28" s="111">
        <f t="shared" si="1"/>
        <v>0</v>
      </c>
      <c r="F28" s="126"/>
      <c r="H28" s="177" t="str">
        <f>"Email: "&amp;VLOOKUP(H25,Code!A1:D8,4,0)</f>
        <v>Email: Email</v>
      </c>
      <c r="N28" s="126"/>
    </row>
    <row r="29" spans="1:14" ht="13.2">
      <c r="B29" s="124"/>
      <c r="F29" s="126"/>
      <c r="H29" s="177" t="str">
        <f>'PH to AHS'!B1</f>
        <v>AHS Trading WLL</v>
      </c>
      <c r="N29" s="126"/>
    </row>
    <row r="30" spans="1:14" ht="15" customHeight="1">
      <c r="B30" s="115" t="str">
        <f>'Customer Costing'!R8&amp;CHAR(10)&amp;'Customer Costing'!R9&amp;CHAR(10)&amp;'Customer Costing'!R10</f>
        <v xml:space="preserve">
</v>
      </c>
      <c r="F30" s="126"/>
      <c r="H30" s="160" t="s">
        <v>35</v>
      </c>
      <c r="N30" s="126"/>
    </row>
    <row r="31" spans="1:14" ht="15" customHeight="1">
      <c r="F31" s="126"/>
      <c r="N31" s="126"/>
    </row>
    <row r="32" spans="1:14" ht="15" customHeight="1">
      <c r="F32" s="126"/>
      <c r="N32" s="126"/>
    </row>
    <row r="33" spans="1:14" ht="13.2">
      <c r="D33" s="112" t="s">
        <v>36</v>
      </c>
      <c r="E33" s="111">
        <f>SUM(E17:E28)</f>
        <v>1289.56</v>
      </c>
      <c r="F33" s="126"/>
      <c r="N33" s="126"/>
    </row>
    <row r="34" spans="1:14" ht="15" customHeight="1">
      <c r="D34" s="112" t="s">
        <v>37</v>
      </c>
      <c r="E34" s="111">
        <v>0</v>
      </c>
      <c r="F34" s="126"/>
      <c r="N34" s="126"/>
    </row>
    <row r="35" spans="1:14" ht="15" customHeight="1">
      <c r="D35" s="112" t="s">
        <v>38</v>
      </c>
      <c r="E35" s="125">
        <f>(E33+E34)*0.1</f>
        <v>128.95599999999999</v>
      </c>
      <c r="F35" s="126"/>
      <c r="N35" s="126"/>
    </row>
    <row r="36" spans="1:14" ht="15" customHeight="1">
      <c r="D36" s="113" t="s">
        <v>39</v>
      </c>
      <c r="E36" s="114">
        <f>E33-E34+E35</f>
        <v>1418.5159999999998</v>
      </c>
      <c r="F36" s="126"/>
      <c r="N36" s="126"/>
    </row>
    <row r="37" spans="1:14" ht="15" customHeight="1">
      <c r="F37" s="126"/>
      <c r="N37" s="126"/>
    </row>
    <row r="38" spans="1:14" ht="15" customHeight="1">
      <c r="F38" s="126"/>
      <c r="N38" s="126"/>
    </row>
    <row r="39" spans="1:14" ht="15" customHeight="1">
      <c r="F39" s="126"/>
      <c r="N39" s="126"/>
    </row>
    <row r="40" spans="1:14" ht="27" customHeight="1">
      <c r="F40" s="126"/>
      <c r="H40" s="215" t="s">
        <v>40</v>
      </c>
      <c r="I40" s="215"/>
      <c r="J40" s="215"/>
      <c r="K40" s="215"/>
      <c r="L40" s="215"/>
      <c r="M40" s="215"/>
      <c r="N40" s="126"/>
    </row>
    <row r="41" spans="1:14" ht="32.25" customHeight="1">
      <c r="F41" s="126"/>
      <c r="G41" s="143"/>
      <c r="H41" s="215"/>
      <c r="I41" s="215"/>
      <c r="J41" s="215"/>
      <c r="K41" s="215"/>
      <c r="L41" s="215"/>
      <c r="M41" s="215"/>
      <c r="N41" s="126"/>
    </row>
    <row r="42" spans="1:14" ht="15" customHeight="1">
      <c r="F42" s="126"/>
      <c r="G42" s="143"/>
      <c r="H42" s="215"/>
      <c r="I42" s="215"/>
      <c r="J42" s="215"/>
      <c r="K42" s="215"/>
      <c r="L42" s="215"/>
      <c r="M42" s="215"/>
      <c r="N42" s="126"/>
    </row>
    <row r="43" spans="1:14" ht="15" customHeight="1">
      <c r="A43" s="126"/>
      <c r="B43" s="126"/>
      <c r="C43" s="126"/>
      <c r="D43" s="126"/>
      <c r="E43" s="126"/>
      <c r="F43" s="126"/>
      <c r="G43" s="126"/>
      <c r="H43" s="126"/>
      <c r="I43" s="126"/>
      <c r="J43" s="126"/>
      <c r="K43" s="126"/>
      <c r="L43" s="126"/>
      <c r="M43" s="126"/>
      <c r="N43" s="126"/>
    </row>
    <row r="44" spans="1:14" ht="15" customHeight="1">
      <c r="A44" s="214" t="s">
        <v>41</v>
      </c>
      <c r="B44" s="214"/>
      <c r="C44" s="214"/>
      <c r="D44" s="214"/>
      <c r="E44" s="214"/>
      <c r="G44" s="214" t="s">
        <v>42</v>
      </c>
      <c r="H44" s="214"/>
      <c r="I44" s="214"/>
      <c r="J44" s="214"/>
      <c r="K44" s="214"/>
      <c r="L44" s="214"/>
      <c r="M44" s="214"/>
    </row>
    <row r="45" spans="1:14" ht="15" customHeight="1">
      <c r="A45" s="214"/>
      <c r="B45" s="214"/>
      <c r="C45" s="214"/>
      <c r="D45" s="214"/>
      <c r="E45" s="214"/>
      <c r="G45" s="214"/>
      <c r="H45" s="214"/>
      <c r="I45" s="214"/>
      <c r="J45" s="214"/>
      <c r="K45" s="214"/>
      <c r="L45" s="214"/>
      <c r="M45" s="214"/>
    </row>
  </sheetData>
  <mergeCells count="8">
    <mergeCell ref="A44:E45"/>
    <mergeCell ref="G44:M45"/>
    <mergeCell ref="D1:E2"/>
    <mergeCell ref="G4:M4"/>
    <mergeCell ref="A10:E10"/>
    <mergeCell ref="A11:E14"/>
    <mergeCell ref="H20:L21"/>
    <mergeCell ref="H40:M42"/>
  </mergeCells>
  <conditionalFormatting sqref="I5:I17 I19 I22">
    <cfRule type="containsText" dxfId="1" priority="1" operator="containsText" text="Select">
      <formula>NOT(ISERROR(SEARCH("Select",I5)))</formula>
    </cfRule>
  </conditionalFormatting>
  <conditionalFormatting sqref="I7">
    <cfRule type="containsText" dxfId="0" priority="2" operator="containsText" text="Please">
      <formula>NOT(ISERROR(SEARCH("Please",I7)))</formula>
    </cfRule>
  </conditionalFormatting>
  <hyperlinks>
    <hyperlink ref="H30" r:id="rId1" xr:uid="{569D898E-C80C-43BB-93DA-29A63A0BAA99}"/>
  </hyperlinks>
  <pageMargins left="0.7" right="0.7" top="0.01"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9745E-DF5E-4696-973B-5741BAB9415E}">
  <dimension ref="A1:P36"/>
  <sheetViews>
    <sheetView workbookViewId="0">
      <selection activeCell="B4" sqref="B4"/>
    </sheetView>
  </sheetViews>
  <sheetFormatPr defaultRowHeight="13.8"/>
  <cols>
    <col min="1" max="1" width="12.33203125" bestFit="1" customWidth="1"/>
    <col min="2" max="2" width="18.109375" bestFit="1" customWidth="1"/>
    <col min="3" max="7" width="16.33203125" bestFit="1" customWidth="1"/>
    <col min="8" max="8" width="18.33203125" bestFit="1" customWidth="1"/>
    <col min="9" max="11" width="16.33203125" bestFit="1" customWidth="1"/>
    <col min="12" max="12" width="17.44140625" bestFit="1" customWidth="1"/>
    <col min="13" max="14" width="17.44140625" customWidth="1"/>
    <col min="15" max="15" width="15.5546875" bestFit="1" customWidth="1"/>
    <col min="16" max="16" width="12.5546875" bestFit="1" customWidth="1"/>
  </cols>
  <sheetData>
    <row r="1" spans="1:16" ht="14.4" thickBot="1">
      <c r="A1" s="100" t="s">
        <v>43</v>
      </c>
      <c r="B1" s="107" t="s">
        <v>137</v>
      </c>
      <c r="C1" s="136" t="s">
        <v>45</v>
      </c>
      <c r="D1" s="26" t="s">
        <v>46</v>
      </c>
      <c r="E1" s="26"/>
      <c r="F1" s="86"/>
      <c r="G1" s="149" t="s">
        <v>47</v>
      </c>
      <c r="H1" s="87" t="s">
        <v>138</v>
      </c>
      <c r="I1" s="26"/>
      <c r="J1" s="26"/>
      <c r="K1" s="26"/>
      <c r="L1" s="26"/>
      <c r="M1" s="26"/>
      <c r="N1" s="26"/>
      <c r="O1" s="26"/>
      <c r="P1" s="26"/>
    </row>
    <row r="2" spans="1:16" ht="14.4" thickBot="1">
      <c r="A2" s="102" t="s">
        <v>49</v>
      </c>
      <c r="B2" s="127">
        <f ca="1">TODAY()</f>
        <v>46097</v>
      </c>
      <c r="C2" s="136" t="s">
        <v>50</v>
      </c>
      <c r="D2" s="137"/>
      <c r="E2" s="138" t="s">
        <v>51</v>
      </c>
      <c r="F2" s="145"/>
      <c r="G2" s="150" t="s">
        <v>21</v>
      </c>
      <c r="H2" s="88" t="s">
        <v>53</v>
      </c>
      <c r="I2" s="26"/>
      <c r="J2" s="26"/>
      <c r="K2" s="26"/>
      <c r="L2" s="26"/>
      <c r="M2" s="26"/>
      <c r="N2" s="26"/>
      <c r="O2" s="26"/>
      <c r="P2" s="26"/>
    </row>
    <row r="3" spans="1:16">
      <c r="A3" s="106" t="s">
        <v>54</v>
      </c>
      <c r="B3" s="128"/>
      <c r="C3" s="131" t="s">
        <v>56</v>
      </c>
      <c r="D3" s="90"/>
      <c r="E3" s="103" t="s">
        <v>57</v>
      </c>
      <c r="F3" s="146"/>
      <c r="G3" s="150" t="s">
        <v>18</v>
      </c>
      <c r="H3" s="88" t="s">
        <v>48</v>
      </c>
      <c r="I3" s="26"/>
      <c r="J3" s="26"/>
      <c r="K3" s="26"/>
      <c r="L3" s="26"/>
      <c r="M3" s="26"/>
      <c r="N3" s="26"/>
      <c r="O3" s="26"/>
      <c r="P3" s="26"/>
    </row>
    <row r="4" spans="1:16">
      <c r="A4" s="101" t="s">
        <v>59</v>
      </c>
      <c r="B4" s="129" t="s">
        <v>139</v>
      </c>
      <c r="C4" s="132" t="s">
        <v>60</v>
      </c>
      <c r="D4" s="178" t="s">
        <v>61</v>
      </c>
      <c r="E4" s="104" t="s">
        <v>62</v>
      </c>
      <c r="F4" s="147"/>
      <c r="G4" s="150" t="s">
        <v>64</v>
      </c>
      <c r="H4" s="88" t="s">
        <v>48</v>
      </c>
      <c r="I4" s="26"/>
      <c r="J4" s="26"/>
      <c r="K4" s="26"/>
      <c r="L4" s="26"/>
      <c r="M4" s="26"/>
      <c r="N4" s="26"/>
      <c r="O4" s="26"/>
      <c r="P4" s="26"/>
    </row>
    <row r="5" spans="1:16" ht="14.4" thickBot="1">
      <c r="A5" s="102" t="s">
        <v>65</v>
      </c>
      <c r="B5" s="130" t="s">
        <v>66</v>
      </c>
      <c r="C5" s="133" t="s">
        <v>9</v>
      </c>
      <c r="D5" s="179"/>
      <c r="E5" s="105" t="s">
        <v>68</v>
      </c>
      <c r="F5" s="148"/>
      <c r="G5" s="151" t="s">
        <v>20</v>
      </c>
      <c r="H5" s="89" t="s">
        <v>48</v>
      </c>
      <c r="I5" s="26"/>
      <c r="J5" s="26"/>
      <c r="K5" s="26"/>
      <c r="L5" s="26"/>
      <c r="M5" s="26"/>
      <c r="N5" s="26"/>
      <c r="O5" s="26"/>
      <c r="P5" s="26"/>
    </row>
    <row r="6" spans="1:16" ht="14.4" thickBot="1">
      <c r="A6" s="26"/>
      <c r="B6" s="26"/>
      <c r="C6" s="26"/>
      <c r="D6" s="25"/>
      <c r="E6" s="25"/>
      <c r="F6" s="25"/>
      <c r="G6" s="25"/>
      <c r="H6" s="25"/>
      <c r="I6" s="26"/>
      <c r="J6" s="26"/>
      <c r="K6" s="26"/>
      <c r="L6" s="26"/>
      <c r="M6" s="26"/>
      <c r="N6" s="26"/>
      <c r="O6" s="26"/>
      <c r="P6" s="26"/>
    </row>
    <row r="7" spans="1:16">
      <c r="A7" s="196" t="s">
        <v>69</v>
      </c>
      <c r="B7" s="197"/>
      <c r="C7" s="59" t="s">
        <v>71</v>
      </c>
      <c r="D7" s="59" t="s">
        <v>71</v>
      </c>
      <c r="E7" s="59" t="s">
        <v>71</v>
      </c>
      <c r="F7" s="59" t="s">
        <v>71</v>
      </c>
      <c r="G7" s="59" t="s">
        <v>71</v>
      </c>
      <c r="H7" s="59" t="s">
        <v>71</v>
      </c>
      <c r="I7" s="59" t="s">
        <v>71</v>
      </c>
      <c r="J7" s="59" t="s">
        <v>71</v>
      </c>
      <c r="K7" s="59" t="s">
        <v>71</v>
      </c>
      <c r="L7" s="59" t="s">
        <v>71</v>
      </c>
      <c r="M7" s="59" t="s">
        <v>71</v>
      </c>
      <c r="N7" s="59" t="s">
        <v>71</v>
      </c>
      <c r="O7" s="189" t="s">
        <v>72</v>
      </c>
      <c r="P7" s="26"/>
    </row>
    <row r="8" spans="1:16">
      <c r="A8" s="198" t="s">
        <v>73</v>
      </c>
      <c r="B8" s="199"/>
      <c r="C8" s="28" t="s">
        <v>74</v>
      </c>
      <c r="D8" s="28" t="s">
        <v>75</v>
      </c>
      <c r="E8" s="28" t="s">
        <v>76</v>
      </c>
      <c r="F8" s="28" t="s">
        <v>77</v>
      </c>
      <c r="G8" s="66" t="s">
        <v>78</v>
      </c>
      <c r="H8" s="66" t="s">
        <v>79</v>
      </c>
      <c r="I8" s="66" t="s">
        <v>80</v>
      </c>
      <c r="J8" s="66" t="s">
        <v>81</v>
      </c>
      <c r="K8" s="66" t="s">
        <v>82</v>
      </c>
      <c r="L8" s="66" t="s">
        <v>83</v>
      </c>
      <c r="M8" s="66" t="s">
        <v>84</v>
      </c>
      <c r="N8" s="66" t="s">
        <v>85</v>
      </c>
      <c r="O8" s="190"/>
      <c r="P8" s="26"/>
    </row>
    <row r="9" spans="1:16">
      <c r="A9" s="198" t="s">
        <v>86</v>
      </c>
      <c r="B9" s="199"/>
      <c r="C9" s="28" t="s">
        <v>140</v>
      </c>
      <c r="D9" s="28" t="s">
        <v>141</v>
      </c>
      <c r="E9" s="28" t="s">
        <v>142</v>
      </c>
      <c r="F9" s="28" t="s">
        <v>143</v>
      </c>
      <c r="G9" s="66" t="s">
        <v>144</v>
      </c>
      <c r="H9" s="66" t="s">
        <v>145</v>
      </c>
      <c r="I9" s="66" t="s">
        <v>87</v>
      </c>
      <c r="J9" s="66" t="s">
        <v>88</v>
      </c>
      <c r="K9" s="66" t="s">
        <v>89</v>
      </c>
      <c r="L9" s="66" t="s">
        <v>90</v>
      </c>
      <c r="M9" s="66" t="s">
        <v>91</v>
      </c>
      <c r="N9" s="66" t="s">
        <v>92</v>
      </c>
      <c r="O9" s="190"/>
      <c r="P9" s="26"/>
    </row>
    <row r="10" spans="1:16" ht="13.5" customHeight="1" thickBot="1">
      <c r="A10" s="210" t="s">
        <v>93</v>
      </c>
      <c r="B10" s="211"/>
      <c r="C10" s="58" t="s">
        <v>94</v>
      </c>
      <c r="D10" s="58" t="s">
        <v>95</v>
      </c>
      <c r="E10" s="58" t="s">
        <v>96</v>
      </c>
      <c r="F10" s="58" t="s">
        <v>97</v>
      </c>
      <c r="G10" s="58" t="s">
        <v>98</v>
      </c>
      <c r="H10" s="58" t="s">
        <v>99</v>
      </c>
      <c r="I10" s="58" t="s">
        <v>100</v>
      </c>
      <c r="J10" s="58" t="s">
        <v>101</v>
      </c>
      <c r="K10" s="58" t="s">
        <v>102</v>
      </c>
      <c r="L10" s="58" t="s">
        <v>103</v>
      </c>
      <c r="M10" s="58" t="s">
        <v>104</v>
      </c>
      <c r="N10" s="58" t="s">
        <v>105</v>
      </c>
      <c r="O10" s="191"/>
      <c r="P10" s="108"/>
    </row>
    <row r="11" spans="1:16" ht="14.4" thickBot="1">
      <c r="A11" s="91" t="s">
        <v>106</v>
      </c>
      <c r="B11" s="61" t="s">
        <v>107</v>
      </c>
      <c r="C11" s="60">
        <v>1</v>
      </c>
      <c r="D11" s="57">
        <v>1</v>
      </c>
      <c r="E11" s="57">
        <v>1</v>
      </c>
      <c r="F11" s="57">
        <v>1</v>
      </c>
      <c r="G11" s="67">
        <v>1</v>
      </c>
      <c r="H11" s="67">
        <v>1</v>
      </c>
      <c r="I11" s="67">
        <v>1</v>
      </c>
      <c r="J11" s="67">
        <v>1</v>
      </c>
      <c r="K11" s="67">
        <v>1</v>
      </c>
      <c r="L11" s="67">
        <v>1</v>
      </c>
      <c r="M11" s="67">
        <v>1</v>
      </c>
      <c r="N11" s="67">
        <v>1</v>
      </c>
      <c r="O11" s="73"/>
      <c r="P11" s="26"/>
    </row>
    <row r="12" spans="1:16" ht="14.4" thickBot="1">
      <c r="A12" s="62" t="s">
        <v>108</v>
      </c>
      <c r="B12" s="39" t="s">
        <v>109</v>
      </c>
      <c r="C12" s="76"/>
      <c r="D12" s="37"/>
      <c r="E12" s="37"/>
      <c r="F12" s="37"/>
      <c r="G12" s="68"/>
      <c r="H12" s="68"/>
      <c r="I12" s="68"/>
      <c r="J12" s="68"/>
      <c r="K12" s="68"/>
      <c r="L12" s="68"/>
      <c r="M12" s="68"/>
      <c r="N12" s="68"/>
      <c r="O12" s="74">
        <f>SUM(C12:N12)</f>
        <v>0</v>
      </c>
      <c r="P12" s="26"/>
    </row>
    <row r="13" spans="1:16">
      <c r="A13" s="62" t="s">
        <v>108</v>
      </c>
      <c r="B13" s="181" t="s">
        <v>110</v>
      </c>
      <c r="C13" s="38">
        <f>C12*0.09</f>
        <v>0</v>
      </c>
      <c r="D13" s="38">
        <f t="shared" ref="D13:N13" si="0">D12*0.09</f>
        <v>0</v>
      </c>
      <c r="E13" s="38">
        <f t="shared" si="0"/>
        <v>0</v>
      </c>
      <c r="F13" s="38">
        <f t="shared" si="0"/>
        <v>0</v>
      </c>
      <c r="G13" s="38">
        <f t="shared" si="0"/>
        <v>0</v>
      </c>
      <c r="H13" s="38">
        <f t="shared" si="0"/>
        <v>0</v>
      </c>
      <c r="I13" s="38">
        <f t="shared" si="0"/>
        <v>0</v>
      </c>
      <c r="J13" s="38">
        <f t="shared" si="0"/>
        <v>0</v>
      </c>
      <c r="K13" s="38">
        <f t="shared" si="0"/>
        <v>0</v>
      </c>
      <c r="L13" s="38">
        <f t="shared" si="0"/>
        <v>0</v>
      </c>
      <c r="M13" s="38">
        <f t="shared" si="0"/>
        <v>0</v>
      </c>
      <c r="N13" s="38">
        <f t="shared" si="0"/>
        <v>0</v>
      </c>
      <c r="O13" s="74">
        <f>SUM(C13:N13)</f>
        <v>0</v>
      </c>
      <c r="P13" s="26"/>
    </row>
    <row r="14" spans="1:16" ht="14.4" thickBot="1">
      <c r="A14" s="63"/>
      <c r="B14" s="45" t="s">
        <v>112</v>
      </c>
      <c r="C14" s="46">
        <f>IF($A$12="EUR",0.45,0.39)</f>
        <v>0.45</v>
      </c>
      <c r="D14" s="46">
        <f t="shared" ref="D14:N14" si="1">IF($A$12="EUR",0.45,0.39)</f>
        <v>0.45</v>
      </c>
      <c r="E14" s="46">
        <f t="shared" si="1"/>
        <v>0.45</v>
      </c>
      <c r="F14" s="46">
        <f t="shared" si="1"/>
        <v>0.45</v>
      </c>
      <c r="G14" s="46">
        <f t="shared" si="1"/>
        <v>0.45</v>
      </c>
      <c r="H14" s="46">
        <f t="shared" si="1"/>
        <v>0.45</v>
      </c>
      <c r="I14" s="46">
        <f t="shared" si="1"/>
        <v>0.45</v>
      </c>
      <c r="J14" s="46">
        <f t="shared" si="1"/>
        <v>0.45</v>
      </c>
      <c r="K14" s="46">
        <f t="shared" si="1"/>
        <v>0.45</v>
      </c>
      <c r="L14" s="46">
        <f t="shared" si="1"/>
        <v>0.45</v>
      </c>
      <c r="M14" s="46">
        <f t="shared" si="1"/>
        <v>0.45</v>
      </c>
      <c r="N14" s="46">
        <f t="shared" si="1"/>
        <v>0.45</v>
      </c>
      <c r="O14" s="75" t="s">
        <v>113</v>
      </c>
      <c r="P14" s="26"/>
    </row>
    <row r="15" spans="1:16" ht="14.4" thickBot="1">
      <c r="A15" s="62" t="s">
        <v>114</v>
      </c>
      <c r="B15" s="48" t="s">
        <v>109</v>
      </c>
      <c r="C15" s="49">
        <f>C12*C14</f>
        <v>0</v>
      </c>
      <c r="D15" s="49">
        <f t="shared" ref="D15:N15" si="2">D12*D14</f>
        <v>0</v>
      </c>
      <c r="E15" s="49">
        <f t="shared" si="2"/>
        <v>0</v>
      </c>
      <c r="F15" s="49">
        <f t="shared" si="2"/>
        <v>0</v>
      </c>
      <c r="G15" s="69">
        <f t="shared" si="2"/>
        <v>0</v>
      </c>
      <c r="H15" s="69">
        <f t="shared" si="2"/>
        <v>0</v>
      </c>
      <c r="I15" s="69">
        <f t="shared" si="2"/>
        <v>0</v>
      </c>
      <c r="J15" s="69">
        <f t="shared" si="2"/>
        <v>0</v>
      </c>
      <c r="K15" s="69">
        <f t="shared" si="2"/>
        <v>0</v>
      </c>
      <c r="L15" s="69">
        <f t="shared" si="2"/>
        <v>0</v>
      </c>
      <c r="M15" s="69">
        <f t="shared" si="2"/>
        <v>0</v>
      </c>
      <c r="N15" s="69">
        <f t="shared" si="2"/>
        <v>0</v>
      </c>
      <c r="O15" s="77">
        <f>SUM(C15:N15)</f>
        <v>0</v>
      </c>
      <c r="P15" s="26"/>
    </row>
    <row r="16" spans="1:16" ht="14.4" thickBot="1">
      <c r="A16" s="62" t="s">
        <v>114</v>
      </c>
      <c r="B16" s="40" t="s">
        <v>110</v>
      </c>
      <c r="C16" s="41">
        <f>C13*C14</f>
        <v>0</v>
      </c>
      <c r="D16" s="41">
        <f t="shared" ref="D16:N16" si="3">D13*D14</f>
        <v>0</v>
      </c>
      <c r="E16" s="41">
        <f t="shared" si="3"/>
        <v>0</v>
      </c>
      <c r="F16" s="41">
        <f t="shared" si="3"/>
        <v>0</v>
      </c>
      <c r="G16" s="70">
        <f t="shared" si="3"/>
        <v>0</v>
      </c>
      <c r="H16" s="70">
        <f t="shared" si="3"/>
        <v>0</v>
      </c>
      <c r="I16" s="70">
        <f t="shared" si="3"/>
        <v>0</v>
      </c>
      <c r="J16" s="70">
        <f t="shared" si="3"/>
        <v>0</v>
      </c>
      <c r="K16" s="70">
        <f t="shared" si="3"/>
        <v>0</v>
      </c>
      <c r="L16" s="70">
        <f t="shared" si="3"/>
        <v>0</v>
      </c>
      <c r="M16" s="70">
        <f t="shared" si="3"/>
        <v>0</v>
      </c>
      <c r="N16" s="70">
        <f t="shared" si="3"/>
        <v>0</v>
      </c>
      <c r="O16" s="77">
        <f t="shared" ref="O16:O23" si="4">SUM(C16:N16)</f>
        <v>0</v>
      </c>
      <c r="P16" s="26"/>
    </row>
    <row r="17" spans="1:16" ht="14.4" thickBot="1">
      <c r="A17" s="63"/>
      <c r="B17" s="43" t="s">
        <v>115</v>
      </c>
      <c r="C17" s="42">
        <f>C15+C16</f>
        <v>0</v>
      </c>
      <c r="D17" s="42">
        <f t="shared" ref="D17:N17" si="5">D15+D16</f>
        <v>0</v>
      </c>
      <c r="E17" s="42">
        <f t="shared" si="5"/>
        <v>0</v>
      </c>
      <c r="F17" s="42">
        <f t="shared" si="5"/>
        <v>0</v>
      </c>
      <c r="G17" s="71">
        <f t="shared" si="5"/>
        <v>0</v>
      </c>
      <c r="H17" s="71">
        <f t="shared" si="5"/>
        <v>0</v>
      </c>
      <c r="I17" s="71">
        <f t="shared" si="5"/>
        <v>0</v>
      </c>
      <c r="J17" s="71">
        <f t="shared" si="5"/>
        <v>0</v>
      </c>
      <c r="K17" s="71">
        <f t="shared" si="5"/>
        <v>0</v>
      </c>
      <c r="L17" s="71">
        <f t="shared" si="5"/>
        <v>0</v>
      </c>
      <c r="M17" s="71">
        <f t="shared" si="5"/>
        <v>0</v>
      </c>
      <c r="N17" s="71">
        <f t="shared" si="5"/>
        <v>0</v>
      </c>
      <c r="O17" s="77">
        <f t="shared" si="4"/>
        <v>0</v>
      </c>
      <c r="P17" s="26"/>
    </row>
    <row r="18" spans="1:16" ht="14.4" thickBot="1">
      <c r="A18" s="63"/>
      <c r="B18" s="40" t="s">
        <v>116</v>
      </c>
      <c r="C18" s="41">
        <v>0</v>
      </c>
      <c r="D18" s="41">
        <v>0</v>
      </c>
      <c r="E18" s="41">
        <v>0</v>
      </c>
      <c r="F18" s="41">
        <v>0</v>
      </c>
      <c r="G18" s="70">
        <v>0</v>
      </c>
      <c r="H18" s="70">
        <v>0</v>
      </c>
      <c r="I18" s="70">
        <v>0</v>
      </c>
      <c r="J18" s="70">
        <v>0</v>
      </c>
      <c r="K18" s="70">
        <v>0</v>
      </c>
      <c r="L18" s="70">
        <v>0</v>
      </c>
      <c r="M18" s="70">
        <v>0</v>
      </c>
      <c r="N18" s="70">
        <v>0</v>
      </c>
      <c r="O18" s="77">
        <f t="shared" si="4"/>
        <v>0</v>
      </c>
      <c r="P18" s="26"/>
    </row>
    <row r="19" spans="1:16" ht="14.4" thickBot="1">
      <c r="A19" s="64">
        <v>0.06</v>
      </c>
      <c r="B19" s="40" t="s">
        <v>117</v>
      </c>
      <c r="C19" s="41">
        <f>C17*$A$19</f>
        <v>0</v>
      </c>
      <c r="D19" s="41">
        <f t="shared" ref="D19:N19" si="6">D17*$A$19</f>
        <v>0</v>
      </c>
      <c r="E19" s="41">
        <f t="shared" si="6"/>
        <v>0</v>
      </c>
      <c r="F19" s="41">
        <f t="shared" si="6"/>
        <v>0</v>
      </c>
      <c r="G19" s="70">
        <f t="shared" si="6"/>
        <v>0</v>
      </c>
      <c r="H19" s="70">
        <f t="shared" si="6"/>
        <v>0</v>
      </c>
      <c r="I19" s="70">
        <f t="shared" si="6"/>
        <v>0</v>
      </c>
      <c r="J19" s="70">
        <f t="shared" si="6"/>
        <v>0</v>
      </c>
      <c r="K19" s="70">
        <f t="shared" si="6"/>
        <v>0</v>
      </c>
      <c r="L19" s="70">
        <f t="shared" si="6"/>
        <v>0</v>
      </c>
      <c r="M19" s="70">
        <f t="shared" si="6"/>
        <v>0</v>
      </c>
      <c r="N19" s="70">
        <f t="shared" si="6"/>
        <v>0</v>
      </c>
      <c r="O19" s="77">
        <f t="shared" si="4"/>
        <v>0</v>
      </c>
      <c r="P19" s="26"/>
    </row>
    <row r="20" spans="1:16" ht="14.4" thickBot="1">
      <c r="A20" s="65"/>
      <c r="B20" s="40" t="s">
        <v>118</v>
      </c>
      <c r="C20" s="41">
        <f>SUM(C17:C19)</f>
        <v>0</v>
      </c>
      <c r="D20" s="41">
        <f t="shared" ref="D20:N20" si="7">SUM(D17:D19)</f>
        <v>0</v>
      </c>
      <c r="E20" s="41">
        <f t="shared" si="7"/>
        <v>0</v>
      </c>
      <c r="F20" s="41">
        <f t="shared" si="7"/>
        <v>0</v>
      </c>
      <c r="G20" s="70">
        <f t="shared" si="7"/>
        <v>0</v>
      </c>
      <c r="H20" s="70">
        <f t="shared" si="7"/>
        <v>0</v>
      </c>
      <c r="I20" s="70">
        <f t="shared" si="7"/>
        <v>0</v>
      </c>
      <c r="J20" s="70">
        <f t="shared" si="7"/>
        <v>0</v>
      </c>
      <c r="K20" s="70">
        <f t="shared" si="7"/>
        <v>0</v>
      </c>
      <c r="L20" s="70">
        <f t="shared" si="7"/>
        <v>0</v>
      </c>
      <c r="M20" s="70">
        <f t="shared" si="7"/>
        <v>0</v>
      </c>
      <c r="N20" s="70">
        <f t="shared" si="7"/>
        <v>0</v>
      </c>
      <c r="O20" s="77">
        <f t="shared" si="4"/>
        <v>0</v>
      </c>
      <c r="P20" s="26"/>
    </row>
    <row r="21" spans="1:16" ht="14.4" thickBot="1">
      <c r="A21" s="64">
        <v>0.04</v>
      </c>
      <c r="B21" s="47" t="s">
        <v>119</v>
      </c>
      <c r="C21" s="50">
        <f>C20*$A$21</f>
        <v>0</v>
      </c>
      <c r="D21" s="50">
        <f t="shared" ref="D21:N21" si="8">D20*$A$21</f>
        <v>0</v>
      </c>
      <c r="E21" s="50">
        <f t="shared" si="8"/>
        <v>0</v>
      </c>
      <c r="F21" s="50">
        <f t="shared" si="8"/>
        <v>0</v>
      </c>
      <c r="G21" s="72">
        <f t="shared" si="8"/>
        <v>0</v>
      </c>
      <c r="H21" s="72">
        <f t="shared" si="8"/>
        <v>0</v>
      </c>
      <c r="I21" s="72">
        <f t="shared" si="8"/>
        <v>0</v>
      </c>
      <c r="J21" s="72">
        <f t="shared" si="8"/>
        <v>0</v>
      </c>
      <c r="K21" s="72">
        <f t="shared" si="8"/>
        <v>0</v>
      </c>
      <c r="L21" s="72">
        <f t="shared" si="8"/>
        <v>0</v>
      </c>
      <c r="M21" s="72">
        <f t="shared" si="8"/>
        <v>0</v>
      </c>
      <c r="N21" s="72">
        <f t="shared" si="8"/>
        <v>0</v>
      </c>
      <c r="O21" s="77">
        <f t="shared" si="4"/>
        <v>0</v>
      </c>
      <c r="P21" s="26"/>
    </row>
    <row r="22" spans="1:16" ht="14.4" thickBot="1">
      <c r="A22" s="64">
        <v>0.01</v>
      </c>
      <c r="B22" s="40" t="s">
        <v>120</v>
      </c>
      <c r="C22" s="41">
        <f>C20*$A$22</f>
        <v>0</v>
      </c>
      <c r="D22" s="41">
        <f t="shared" ref="D22:N22" si="9">D20*$A$22</f>
        <v>0</v>
      </c>
      <c r="E22" s="41">
        <f t="shared" si="9"/>
        <v>0</v>
      </c>
      <c r="F22" s="41">
        <f t="shared" si="9"/>
        <v>0</v>
      </c>
      <c r="G22" s="70">
        <f t="shared" si="9"/>
        <v>0</v>
      </c>
      <c r="H22" s="70">
        <f t="shared" si="9"/>
        <v>0</v>
      </c>
      <c r="I22" s="70">
        <f t="shared" si="9"/>
        <v>0</v>
      </c>
      <c r="J22" s="70">
        <f t="shared" si="9"/>
        <v>0</v>
      </c>
      <c r="K22" s="70">
        <f t="shared" si="9"/>
        <v>0</v>
      </c>
      <c r="L22" s="70">
        <f t="shared" si="9"/>
        <v>0</v>
      </c>
      <c r="M22" s="70">
        <f t="shared" si="9"/>
        <v>0</v>
      </c>
      <c r="N22" s="70">
        <f t="shared" si="9"/>
        <v>0</v>
      </c>
      <c r="O22" s="77">
        <f t="shared" si="4"/>
        <v>0</v>
      </c>
      <c r="P22" s="26"/>
    </row>
    <row r="23" spans="1:16">
      <c r="A23" s="65"/>
      <c r="B23" s="40" t="s">
        <v>121</v>
      </c>
      <c r="C23" s="41">
        <v>0</v>
      </c>
      <c r="D23" s="41">
        <v>0</v>
      </c>
      <c r="E23" s="41">
        <v>0</v>
      </c>
      <c r="F23" s="41">
        <v>0</v>
      </c>
      <c r="G23" s="70">
        <v>0</v>
      </c>
      <c r="H23" s="70">
        <v>0</v>
      </c>
      <c r="I23" s="70">
        <v>0</v>
      </c>
      <c r="J23" s="70">
        <v>0</v>
      </c>
      <c r="K23" s="70">
        <v>0</v>
      </c>
      <c r="L23" s="70">
        <v>0</v>
      </c>
      <c r="M23" s="70">
        <v>0</v>
      </c>
      <c r="N23" s="70">
        <v>0</v>
      </c>
      <c r="O23" s="77">
        <f t="shared" si="4"/>
        <v>0</v>
      </c>
      <c r="P23" s="26"/>
    </row>
    <row r="24" spans="1:16">
      <c r="A24" s="65"/>
      <c r="B24" s="40" t="s">
        <v>122</v>
      </c>
      <c r="C24" s="41">
        <f>'Customer Costing'!C31</f>
        <v>692</v>
      </c>
      <c r="D24" s="41">
        <f>'Customer Costing'!D31</f>
        <v>227</v>
      </c>
      <c r="E24" s="41">
        <f>'Customer Costing'!E31</f>
        <v>333</v>
      </c>
      <c r="F24" s="41">
        <f>'Customer Costing'!F31</f>
        <v>0</v>
      </c>
      <c r="G24" s="41">
        <f>'Customer Costing'!G31</f>
        <v>0</v>
      </c>
      <c r="H24" s="41">
        <f>'Customer Costing'!H31</f>
        <v>0</v>
      </c>
      <c r="I24" s="41">
        <f>'Customer Costing'!I31</f>
        <v>0</v>
      </c>
      <c r="J24" s="41">
        <f>'Customer Costing'!J31</f>
        <v>0</v>
      </c>
      <c r="K24" s="41">
        <f>'Customer Costing'!K31</f>
        <v>0</v>
      </c>
      <c r="L24" s="41">
        <f>'Customer Costing'!L31</f>
        <v>0</v>
      </c>
      <c r="M24" s="41">
        <f>'Customer Costing'!M31</f>
        <v>0</v>
      </c>
      <c r="N24" s="41">
        <f>'Customer Costing'!N31</f>
        <v>0</v>
      </c>
      <c r="O24" s="78">
        <f>SUM(C24*C11,D24*D11,E24*E11,F24*F11,G24*G11,H24*H11,I24*I11,J24*J11,K24*K11,L24*L11,M24*M11,N24*N11)</f>
        <v>1252</v>
      </c>
      <c r="P24" s="26"/>
    </row>
    <row r="25" spans="1:16" ht="14.4" thickBot="1">
      <c r="A25" s="64">
        <v>0.03</v>
      </c>
      <c r="B25" s="80" t="s">
        <v>123</v>
      </c>
      <c r="C25" s="82">
        <f>C24*$A$25</f>
        <v>20.759999999999998</v>
      </c>
      <c r="D25" s="82">
        <f t="shared" ref="D25:N25" si="10">D24*$A$25</f>
        <v>6.81</v>
      </c>
      <c r="E25" s="82">
        <f t="shared" si="10"/>
        <v>9.99</v>
      </c>
      <c r="F25" s="82">
        <f t="shared" si="10"/>
        <v>0</v>
      </c>
      <c r="G25" s="82">
        <f t="shared" si="10"/>
        <v>0</v>
      </c>
      <c r="H25" s="82">
        <f t="shared" si="10"/>
        <v>0</v>
      </c>
      <c r="I25" s="82">
        <f t="shared" si="10"/>
        <v>0</v>
      </c>
      <c r="J25" s="82">
        <f t="shared" si="10"/>
        <v>0</v>
      </c>
      <c r="K25" s="82">
        <f t="shared" si="10"/>
        <v>0</v>
      </c>
      <c r="L25" s="82">
        <f t="shared" si="10"/>
        <v>0</v>
      </c>
      <c r="M25" s="82">
        <f t="shared" si="10"/>
        <v>0</v>
      </c>
      <c r="N25" s="82">
        <f t="shared" si="10"/>
        <v>0</v>
      </c>
      <c r="O25" s="83">
        <f>SUM(C25:N25)</f>
        <v>37.559999999999995</v>
      </c>
      <c r="P25" s="26"/>
    </row>
    <row r="26" spans="1:16">
      <c r="A26" s="208" t="s">
        <v>124</v>
      </c>
      <c r="B26" s="209"/>
      <c r="C26" s="84">
        <f>C24+C25</f>
        <v>712.76</v>
      </c>
      <c r="D26" s="158">
        <f t="shared" ref="D26:N26" si="11">D24+D25</f>
        <v>233.81</v>
      </c>
      <c r="E26" s="158">
        <f t="shared" si="11"/>
        <v>342.99</v>
      </c>
      <c r="F26" s="158">
        <f t="shared" si="11"/>
        <v>0</v>
      </c>
      <c r="G26" s="159">
        <f t="shared" si="11"/>
        <v>0</v>
      </c>
      <c r="H26" s="159">
        <f t="shared" si="11"/>
        <v>0</v>
      </c>
      <c r="I26" s="159">
        <f t="shared" si="11"/>
        <v>0</v>
      </c>
      <c r="J26" s="159">
        <f t="shared" si="11"/>
        <v>0</v>
      </c>
      <c r="K26" s="159">
        <f t="shared" si="11"/>
        <v>0</v>
      </c>
      <c r="L26" s="159">
        <f t="shared" si="11"/>
        <v>0</v>
      </c>
      <c r="M26" s="159">
        <f t="shared" si="11"/>
        <v>0</v>
      </c>
      <c r="N26" s="159">
        <f t="shared" si="11"/>
        <v>0</v>
      </c>
      <c r="O26" s="83">
        <f t="shared" ref="O26:O28" si="12">SUM(C26:N26)</f>
        <v>1289.56</v>
      </c>
      <c r="P26" s="26"/>
    </row>
    <row r="27" spans="1:16" ht="14.4" thickBot="1">
      <c r="A27" s="206" t="s">
        <v>125</v>
      </c>
      <c r="B27" s="207"/>
      <c r="C27" s="85">
        <f>C26</f>
        <v>712.76</v>
      </c>
      <c r="D27" s="85">
        <f t="shared" ref="D27:N27" si="13">D26</f>
        <v>233.81</v>
      </c>
      <c r="E27" s="85">
        <f t="shared" si="13"/>
        <v>342.99</v>
      </c>
      <c r="F27" s="85">
        <f t="shared" si="13"/>
        <v>0</v>
      </c>
      <c r="G27" s="85">
        <f t="shared" si="13"/>
        <v>0</v>
      </c>
      <c r="H27" s="85">
        <f t="shared" si="13"/>
        <v>0</v>
      </c>
      <c r="I27" s="85">
        <f t="shared" si="13"/>
        <v>0</v>
      </c>
      <c r="J27" s="85">
        <f t="shared" si="13"/>
        <v>0</v>
      </c>
      <c r="K27" s="85">
        <f t="shared" si="13"/>
        <v>0</v>
      </c>
      <c r="L27" s="85">
        <f t="shared" si="13"/>
        <v>0</v>
      </c>
      <c r="M27" s="85">
        <f t="shared" si="13"/>
        <v>0</v>
      </c>
      <c r="N27" s="85">
        <f t="shared" si="13"/>
        <v>0</v>
      </c>
      <c r="O27" s="83">
        <f t="shared" si="12"/>
        <v>1289.56</v>
      </c>
      <c r="P27" s="18"/>
    </row>
    <row r="28" spans="1:16" ht="14.4" thickBot="1">
      <c r="A28" s="204" t="s">
        <v>126</v>
      </c>
      <c r="B28" s="205"/>
      <c r="C28" s="81">
        <f>C27*C11</f>
        <v>712.76</v>
      </c>
      <c r="D28" s="81">
        <f t="shared" ref="D28:N28" si="14">D27*D11</f>
        <v>233.81</v>
      </c>
      <c r="E28" s="81">
        <f t="shared" si="14"/>
        <v>342.99</v>
      </c>
      <c r="F28" s="81">
        <f t="shared" si="14"/>
        <v>0</v>
      </c>
      <c r="G28" s="81">
        <f t="shared" si="14"/>
        <v>0</v>
      </c>
      <c r="H28" s="81">
        <f t="shared" si="14"/>
        <v>0</v>
      </c>
      <c r="I28" s="81">
        <f t="shared" si="14"/>
        <v>0</v>
      </c>
      <c r="J28" s="81">
        <f t="shared" si="14"/>
        <v>0</v>
      </c>
      <c r="K28" s="81">
        <f t="shared" si="14"/>
        <v>0</v>
      </c>
      <c r="L28" s="81">
        <f t="shared" si="14"/>
        <v>0</v>
      </c>
      <c r="M28" s="81">
        <f t="shared" si="14"/>
        <v>0</v>
      </c>
      <c r="N28" s="81">
        <f t="shared" si="14"/>
        <v>0</v>
      </c>
      <c r="O28" s="83">
        <f t="shared" si="12"/>
        <v>1289.56</v>
      </c>
      <c r="P28" s="26"/>
    </row>
    <row r="29" spans="1:16" ht="15.6">
      <c r="A29" s="26"/>
      <c r="B29" s="26"/>
      <c r="C29" s="26"/>
      <c r="D29" s="26"/>
      <c r="E29" s="26"/>
      <c r="F29" s="27"/>
      <c r="G29" s="26"/>
      <c r="H29" s="26"/>
      <c r="I29" s="26"/>
      <c r="J29" s="26"/>
      <c r="K29" s="26"/>
      <c r="L29" s="26"/>
      <c r="M29" s="26"/>
      <c r="N29" s="26"/>
      <c r="O29" s="79">
        <f>O28*10%</f>
        <v>128.95599999999999</v>
      </c>
      <c r="P29" s="51" t="s">
        <v>127</v>
      </c>
    </row>
    <row r="30" spans="1:16" ht="16.2" thickBot="1">
      <c r="A30" s="29"/>
      <c r="B30" s="26"/>
      <c r="C30" s="26"/>
      <c r="D30" s="26"/>
      <c r="E30" s="26"/>
      <c r="F30" s="27"/>
      <c r="G30" s="26"/>
      <c r="H30" s="26"/>
      <c r="I30" s="26"/>
      <c r="J30" s="26"/>
      <c r="K30" s="26"/>
      <c r="L30" s="26"/>
      <c r="M30" s="26"/>
      <c r="N30" s="26"/>
      <c r="O30" s="79">
        <f>O28+O29</f>
        <v>1418.5159999999998</v>
      </c>
      <c r="P30" s="51" t="s">
        <v>128</v>
      </c>
    </row>
    <row r="31" spans="1:16">
      <c r="A31" s="200" t="s">
        <v>129</v>
      </c>
      <c r="B31" s="201"/>
      <c r="C31" s="180" t="s">
        <v>130</v>
      </c>
      <c r="D31" s="180" t="s">
        <v>131</v>
      </c>
      <c r="E31" s="99" t="s">
        <v>132</v>
      </c>
      <c r="F31" s="95"/>
      <c r="G31" s="26"/>
      <c r="H31" s="26"/>
      <c r="I31" s="26"/>
      <c r="J31" s="26"/>
      <c r="K31" s="26"/>
      <c r="L31" s="26"/>
      <c r="M31" s="26"/>
      <c r="N31" s="26"/>
      <c r="O31" s="13"/>
      <c r="P31" s="13"/>
    </row>
    <row r="32" spans="1:16">
      <c r="A32" s="202" t="s">
        <v>133</v>
      </c>
      <c r="B32" s="203"/>
      <c r="C32" s="92">
        <f>O28</f>
        <v>1289.56</v>
      </c>
      <c r="D32" s="92">
        <f>C32*0.1</f>
        <v>128.95599999999999</v>
      </c>
      <c r="E32" s="93">
        <f>C32+D32</f>
        <v>1418.5159999999998</v>
      </c>
      <c r="F32" s="96"/>
      <c r="G32" s="26"/>
      <c r="H32" s="26"/>
      <c r="I32" s="26"/>
      <c r="J32" s="26"/>
      <c r="K32" s="26"/>
      <c r="L32" s="26"/>
      <c r="M32" s="26"/>
      <c r="N32" s="26"/>
      <c r="O32" s="13"/>
      <c r="P32" s="13"/>
    </row>
    <row r="33" spans="1:16">
      <c r="A33" s="192" t="s">
        <v>134</v>
      </c>
      <c r="B33" s="193"/>
      <c r="C33" s="92">
        <f>O24</f>
        <v>1252</v>
      </c>
      <c r="D33" s="92">
        <f>C33*0.1</f>
        <v>125.2</v>
      </c>
      <c r="E33" s="93">
        <f>C33+D33</f>
        <v>1377.2</v>
      </c>
      <c r="F33" s="96"/>
      <c r="G33" s="26"/>
      <c r="H33" s="26"/>
      <c r="I33" s="26"/>
      <c r="J33" s="26"/>
      <c r="K33" s="26"/>
      <c r="L33" s="26"/>
      <c r="M33" s="26"/>
      <c r="N33" s="26"/>
      <c r="O33" s="13"/>
      <c r="P33" s="13"/>
    </row>
    <row r="34" spans="1:16" ht="14.4" thickBot="1">
      <c r="A34" s="194" t="s">
        <v>135</v>
      </c>
      <c r="B34" s="195"/>
      <c r="C34" s="44">
        <f>C32-C33</f>
        <v>37.559999999999945</v>
      </c>
      <c r="D34" s="94">
        <f t="shared" ref="D34:E34" si="15">D32-D33</f>
        <v>3.755999999999986</v>
      </c>
      <c r="E34" s="98">
        <f t="shared" si="15"/>
        <v>41.315999999999804</v>
      </c>
      <c r="F34" s="97"/>
      <c r="G34" s="26"/>
      <c r="H34" s="26"/>
      <c r="I34" s="26"/>
      <c r="J34" s="26"/>
      <c r="K34" s="26"/>
      <c r="L34" s="26"/>
      <c r="M34" s="26"/>
      <c r="N34" s="26"/>
      <c r="O34" s="13"/>
      <c r="P34" s="13"/>
    </row>
    <row r="35" spans="1:16">
      <c r="A35" s="26"/>
      <c r="B35" s="152" t="s">
        <v>136</v>
      </c>
      <c r="C35" s="153">
        <f>(C32-C33)/C33</f>
        <v>2.9999999999999957E-2</v>
      </c>
      <c r="D35" s="26"/>
      <c r="E35" s="26"/>
      <c r="F35" s="26"/>
      <c r="G35" s="26"/>
      <c r="H35" s="26"/>
      <c r="I35" s="26"/>
      <c r="J35" s="26"/>
      <c r="K35" s="26"/>
      <c r="L35" s="26"/>
      <c r="M35" s="26"/>
      <c r="N35" s="26"/>
      <c r="O35" s="26"/>
      <c r="P35" s="26"/>
    </row>
    <row r="36" spans="1:16">
      <c r="A36" s="26"/>
      <c r="B36" s="26"/>
      <c r="C36" s="26"/>
      <c r="D36" s="26"/>
      <c r="E36" s="26"/>
      <c r="F36" s="26"/>
      <c r="G36" s="26"/>
      <c r="H36" s="26"/>
      <c r="I36" s="26"/>
      <c r="J36" s="26"/>
      <c r="K36" s="26"/>
      <c r="L36" s="26"/>
      <c r="M36" s="26"/>
      <c r="N36" s="26"/>
      <c r="O36" s="26"/>
      <c r="P36" s="26"/>
    </row>
  </sheetData>
  <mergeCells count="12">
    <mergeCell ref="A34:B34"/>
    <mergeCell ref="A7:B7"/>
    <mergeCell ref="O7:O10"/>
    <mergeCell ref="A8:B8"/>
    <mergeCell ref="A9:B9"/>
    <mergeCell ref="A10:B10"/>
    <mergeCell ref="A26:B26"/>
    <mergeCell ref="A27:B27"/>
    <mergeCell ref="A28:B28"/>
    <mergeCell ref="A31:B31"/>
    <mergeCell ref="A32:B32"/>
    <mergeCell ref="A33:B33"/>
  </mergeCells>
  <dataValidations count="3">
    <dataValidation type="list" allowBlank="1" showInputMessage="1" showErrorMessage="1" sqref="H3:H5" xr:uid="{F3E003E0-1B7C-4705-A97E-9E73538816DF}">
      <formula1>"Yes, No"</formula1>
    </dataValidation>
    <dataValidation type="list" allowBlank="1" showInputMessage="1" showErrorMessage="1" sqref="A12:A13" xr:uid="{20B363A3-0009-471B-8836-C9946ED857E1}">
      <formula1>"EUR, USD"</formula1>
    </dataValidation>
    <dataValidation type="list" allowBlank="1" showInputMessage="1" showErrorMessage="1" sqref="B1" xr:uid="{DB6EF3C7-1153-45A6-96E5-DE6E5E5D18A7}">
      <formula1>"PH Trading WLL, AHS Trading WLL"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6E23C68C-D6E9-4768-BFC9-55B68C5B19BA}">
          <x14:formula1>
            <xm:f>'Customer Database'!$A:$A</xm:f>
          </x14:formula1>
          <xm:sqref>D4</xm:sqref>
        </x14:dataValidation>
        <x14:dataValidation type="list" allowBlank="1" showInputMessage="1" showErrorMessage="1" xr:uid="{38AE1969-625A-4EB6-919B-D2EBC8ACD732}">
          <x14:formula1>
            <xm:f>Code!$B$40:$B$42</xm:f>
          </x14:formula1>
          <xm:sqref>H2</xm:sqref>
        </x14:dataValidation>
        <x14:dataValidation type="list" allowBlank="1" showInputMessage="1" showErrorMessage="1" xr:uid="{B20DDA0B-2804-4923-A733-0BB58087FE74}">
          <x14:formula1>
            <xm:f>Code!$A$40:$A$42</xm:f>
          </x14:formula1>
          <xm:sqref>H1</xm:sqref>
        </x14:dataValidation>
        <x14:dataValidation type="list" allowBlank="1" showInputMessage="1" showErrorMessage="1" xr:uid="{D3AB1658-2DB1-461F-A09A-27A26B2027B4}">
          <x14:formula1>
            <xm:f>Code!$C$23:$C$31</xm:f>
          </x14:formula1>
          <xm:sqref>F5</xm:sqref>
        </x14:dataValidation>
        <x14:dataValidation type="list" allowBlank="1" showInputMessage="1" showErrorMessage="1" xr:uid="{74FBEEA4-2B40-4534-B02D-538A430D86FA}">
          <x14:formula1>
            <xm:f>Code!$A$14:$A$21</xm:f>
          </x14:formula1>
          <xm:sqref>D5</xm:sqref>
        </x14:dataValidation>
        <x14:dataValidation type="list" allowBlank="1" showInputMessage="1" showErrorMessage="1" xr:uid="{A0805913-BFC3-4005-BEE4-A7D6062F9004}">
          <x14:formula1>
            <xm:f>Code!$A$24:$A$27</xm:f>
          </x14:formula1>
          <xm:sqref>F4</xm:sqref>
        </x14:dataValidation>
        <x14:dataValidation type="list" allowBlank="1" showInputMessage="1" showErrorMessage="1" xr:uid="{CB1A9461-1141-4240-8CD4-F8FDADAD239F}">
          <x14:formula1>
            <xm:f>Code!$B$14:$B$18</xm:f>
          </x14:formula1>
          <xm:sqref>F3</xm:sqref>
        </x14:dataValidation>
        <x14:dataValidation type="list" allowBlank="1" showInputMessage="1" showErrorMessage="1" xr:uid="{51791C4D-AFC1-40F2-8236-EC7C9D3C6BFD}">
          <x14:formula1>
            <xm:f>Code!$C$14:$C$22</xm:f>
          </x14:formula1>
          <xm:sqref>F2</xm:sqref>
        </x14:dataValidation>
        <x14:dataValidation type="list" allowBlank="1" showInputMessage="1" showErrorMessage="1" xr:uid="{B534935E-F733-4597-A3D3-881042BCEDEC}">
          <x14:formula1>
            <xm:f>Code!$A$1:$A$7</xm:f>
          </x14:formula1>
          <xm:sqref>B3</xm:sqref>
        </x14:dataValidation>
        <x14:dataValidation type="list" allowBlank="1" showInputMessage="1" showErrorMessage="1" xr:uid="{B732EBDC-D0F4-4631-86A0-4C62F233614E}">
          <x14:formula1>
            <xm:f>Code!$A$30:$A$35</xm:f>
          </x14:formula1>
          <xm:sqref>C7:N7</xm:sqref>
        </x14:dataValidation>
        <x14:dataValidation type="list" allowBlank="1" showInputMessage="1" showErrorMessage="1" xr:uid="{27D2D45E-81B7-4B5A-8280-F64881D69ACE}">
          <x14:formula1>
            <xm:f>Code!$G:$G</xm:f>
          </x14:formula1>
          <xm:sqref>B4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FE05B-25CE-43D2-BFE2-6095DADE9643}">
  <sheetPr codeName="Sheet3"/>
  <dimension ref="A1:N317"/>
  <sheetViews>
    <sheetView topLeftCell="A298" workbookViewId="0">
      <selection activeCell="G260" sqref="G260"/>
    </sheetView>
  </sheetViews>
  <sheetFormatPr defaultRowHeight="13.8"/>
  <cols>
    <col min="1" max="1" width="30.109375" bestFit="1" customWidth="1"/>
    <col min="2" max="2" width="20.5546875" bestFit="1" customWidth="1"/>
    <col min="3" max="3" width="15.44140625" bestFit="1" customWidth="1"/>
    <col min="4" max="4" width="30.109375" bestFit="1" customWidth="1"/>
    <col min="5" max="5" width="9.6640625" bestFit="1" customWidth="1"/>
    <col min="7" max="7" width="39" bestFit="1" customWidth="1"/>
    <col min="8" max="8" width="18.33203125" customWidth="1"/>
    <col min="9" max="9" width="11.88671875" bestFit="1" customWidth="1"/>
    <col min="10" max="10" width="10.109375" customWidth="1"/>
    <col min="13" max="13" width="30.109375" bestFit="1" customWidth="1"/>
  </cols>
  <sheetData>
    <row r="1" spans="1:14" ht="15.6">
      <c r="A1" s="52" t="s">
        <v>55</v>
      </c>
      <c r="B1" s="52" t="s">
        <v>146</v>
      </c>
      <c r="C1" s="52" t="s">
        <v>147</v>
      </c>
      <c r="D1" s="52" t="s">
        <v>66</v>
      </c>
      <c r="H1" s="218" t="s">
        <v>148</v>
      </c>
      <c r="I1" s="219"/>
      <c r="J1" s="219"/>
      <c r="K1" s="219"/>
      <c r="M1" s="52" t="s">
        <v>149</v>
      </c>
      <c r="N1" s="52" t="s">
        <v>150</v>
      </c>
    </row>
    <row r="2" spans="1:14" ht="15.6">
      <c r="A2" s="54" t="s">
        <v>151</v>
      </c>
      <c r="B2" s="54" t="s">
        <v>152</v>
      </c>
      <c r="C2" s="154" t="s">
        <v>153</v>
      </c>
      <c r="D2" s="155" t="s">
        <v>154</v>
      </c>
      <c r="G2" s="5" t="s">
        <v>155</v>
      </c>
      <c r="H2" s="4" t="s">
        <v>156</v>
      </c>
      <c r="I2" s="4" t="s">
        <v>150</v>
      </c>
      <c r="J2" s="4" t="s">
        <v>157</v>
      </c>
      <c r="K2" s="4" t="s">
        <v>158</v>
      </c>
      <c r="M2" s="55" t="s">
        <v>159</v>
      </c>
      <c r="N2" s="54" t="s">
        <v>160</v>
      </c>
    </row>
    <row r="3" spans="1:14">
      <c r="A3" s="54" t="s">
        <v>161</v>
      </c>
      <c r="B3" s="54" t="s">
        <v>162</v>
      </c>
      <c r="C3" s="154" t="s">
        <v>163</v>
      </c>
      <c r="D3" s="155" t="s">
        <v>164</v>
      </c>
      <c r="G3" t="s">
        <v>165</v>
      </c>
      <c r="H3" t="s">
        <v>159</v>
      </c>
      <c r="I3" t="s">
        <v>160</v>
      </c>
      <c r="J3">
        <v>1</v>
      </c>
      <c r="K3" t="str">
        <f>I3&amp;J3</f>
        <v>CO1</v>
      </c>
      <c r="M3" s="55" t="s">
        <v>166</v>
      </c>
      <c r="N3" s="54" t="s">
        <v>167</v>
      </c>
    </row>
    <row r="4" spans="1:14">
      <c r="A4" s="54" t="s">
        <v>168</v>
      </c>
      <c r="B4" s="54" t="s">
        <v>169</v>
      </c>
      <c r="C4" s="154" t="s">
        <v>170</v>
      </c>
      <c r="D4" s="155" t="s">
        <v>171</v>
      </c>
      <c r="G4" t="s">
        <v>172</v>
      </c>
      <c r="H4" t="s">
        <v>159</v>
      </c>
      <c r="I4" t="s">
        <v>160</v>
      </c>
      <c r="J4">
        <v>2</v>
      </c>
      <c r="K4" t="str">
        <f t="shared" ref="K4" si="0">I4&amp;J4</f>
        <v>CO2</v>
      </c>
      <c r="M4" s="55" t="s">
        <v>173</v>
      </c>
      <c r="N4" s="54" t="s">
        <v>174</v>
      </c>
    </row>
    <row r="5" spans="1:14">
      <c r="A5" s="54" t="s">
        <v>175</v>
      </c>
      <c r="B5" s="54" t="s">
        <v>176</v>
      </c>
      <c r="C5" s="154" t="s">
        <v>177</v>
      </c>
      <c r="D5" s="155" t="s">
        <v>178</v>
      </c>
      <c r="G5" t="s">
        <v>179</v>
      </c>
      <c r="H5" t="s">
        <v>159</v>
      </c>
      <c r="I5" t="s">
        <v>160</v>
      </c>
      <c r="J5">
        <v>3</v>
      </c>
      <c r="K5" t="str">
        <f t="shared" ref="K5" si="1">I5&amp;J5</f>
        <v>CO3</v>
      </c>
      <c r="M5" s="55" t="s">
        <v>180</v>
      </c>
      <c r="N5" s="54" t="s">
        <v>181</v>
      </c>
    </row>
    <row r="6" spans="1:14">
      <c r="A6" s="54" t="s">
        <v>182</v>
      </c>
      <c r="B6" s="54" t="s">
        <v>176</v>
      </c>
      <c r="C6" s="54"/>
      <c r="D6" s="53"/>
      <c r="G6" t="s">
        <v>183</v>
      </c>
      <c r="H6" t="s">
        <v>159</v>
      </c>
      <c r="I6" t="s">
        <v>160</v>
      </c>
      <c r="J6">
        <v>4</v>
      </c>
      <c r="K6" t="str">
        <f t="shared" ref="K6" si="2">I6&amp;J6</f>
        <v>CO4</v>
      </c>
      <c r="M6" s="56" t="s">
        <v>184</v>
      </c>
      <c r="N6" s="54" t="s">
        <v>185</v>
      </c>
    </row>
    <row r="7" spans="1:14">
      <c r="A7" s="54" t="s">
        <v>186</v>
      </c>
      <c r="B7" s="54" t="s">
        <v>187</v>
      </c>
      <c r="C7" s="154" t="s">
        <v>188</v>
      </c>
      <c r="D7" s="155" t="s">
        <v>189</v>
      </c>
      <c r="G7" t="s">
        <v>190</v>
      </c>
      <c r="H7" t="s">
        <v>159</v>
      </c>
      <c r="I7" t="s">
        <v>160</v>
      </c>
      <c r="J7">
        <v>5</v>
      </c>
      <c r="K7" t="str">
        <f t="shared" ref="K7" si="3">I7&amp;J7</f>
        <v>CO5</v>
      </c>
      <c r="M7" s="55" t="s">
        <v>191</v>
      </c>
      <c r="N7" s="54" t="s">
        <v>192</v>
      </c>
    </row>
    <row r="8" spans="1:14">
      <c r="G8" t="s">
        <v>193</v>
      </c>
      <c r="H8" t="s">
        <v>159</v>
      </c>
      <c r="I8" t="s">
        <v>160</v>
      </c>
      <c r="J8">
        <v>6</v>
      </c>
      <c r="K8" t="str">
        <f t="shared" ref="K8" si="4">I8&amp;J8</f>
        <v>CO6</v>
      </c>
      <c r="M8" s="55" t="s">
        <v>194</v>
      </c>
      <c r="N8" s="54" t="s">
        <v>195</v>
      </c>
    </row>
    <row r="9" spans="1:14">
      <c r="G9" t="s">
        <v>196</v>
      </c>
      <c r="H9" t="s">
        <v>166</v>
      </c>
      <c r="I9" t="s">
        <v>167</v>
      </c>
      <c r="J9">
        <v>1</v>
      </c>
      <c r="K9" t="str">
        <f t="shared" ref="K9" si="5">I9&amp;J9</f>
        <v>EC1</v>
      </c>
      <c r="M9" s="55" t="s">
        <v>197</v>
      </c>
      <c r="N9" s="54" t="s">
        <v>198</v>
      </c>
    </row>
    <row r="10" spans="1:14">
      <c r="G10" t="s">
        <v>199</v>
      </c>
      <c r="H10" t="s">
        <v>166</v>
      </c>
      <c r="I10" t="s">
        <v>167</v>
      </c>
      <c r="J10">
        <v>2</v>
      </c>
      <c r="K10" t="str">
        <f t="shared" ref="K10" si="6">I10&amp;J10</f>
        <v>EC2</v>
      </c>
      <c r="M10" s="55" t="s">
        <v>200</v>
      </c>
      <c r="N10" s="54" t="s">
        <v>201</v>
      </c>
    </row>
    <row r="11" spans="1:14">
      <c r="G11" t="s">
        <v>202</v>
      </c>
      <c r="H11" t="s">
        <v>166</v>
      </c>
      <c r="I11" t="s">
        <v>167</v>
      </c>
      <c r="J11">
        <v>3</v>
      </c>
      <c r="K11" t="str">
        <f t="shared" ref="K11" si="7">I11&amp;J11</f>
        <v>EC3</v>
      </c>
      <c r="M11" s="55" t="s">
        <v>203</v>
      </c>
      <c r="N11" s="54" t="s">
        <v>204</v>
      </c>
    </row>
    <row r="12" spans="1:14">
      <c r="G12" t="s">
        <v>205</v>
      </c>
      <c r="H12" t="s">
        <v>166</v>
      </c>
      <c r="I12" t="s">
        <v>167</v>
      </c>
      <c r="J12">
        <v>4</v>
      </c>
      <c r="K12" t="str">
        <f t="shared" ref="K12" si="8">I12&amp;J12</f>
        <v>EC4</v>
      </c>
      <c r="M12" s="55" t="s">
        <v>206</v>
      </c>
      <c r="N12" s="54" t="s">
        <v>207</v>
      </c>
    </row>
    <row r="13" spans="1:14">
      <c r="G13" t="s">
        <v>208</v>
      </c>
      <c r="H13" t="s">
        <v>166</v>
      </c>
      <c r="I13" t="s">
        <v>167</v>
      </c>
      <c r="J13">
        <v>5</v>
      </c>
      <c r="K13" t="str">
        <f t="shared" ref="K13" si="9">I13&amp;J13</f>
        <v>EC5</v>
      </c>
    </row>
    <row r="14" spans="1:14">
      <c r="A14" s="135" t="s">
        <v>67</v>
      </c>
      <c r="B14" s="135" t="s">
        <v>209</v>
      </c>
      <c r="C14" s="135" t="s">
        <v>210</v>
      </c>
      <c r="D14" s="135" t="s">
        <v>211</v>
      </c>
      <c r="G14" t="s">
        <v>212</v>
      </c>
      <c r="H14" t="s">
        <v>166</v>
      </c>
      <c r="I14" t="s">
        <v>167</v>
      </c>
      <c r="J14">
        <v>6</v>
      </c>
      <c r="K14" t="str">
        <f t="shared" ref="K14" si="10">I14&amp;J14</f>
        <v>EC6</v>
      </c>
    </row>
    <row r="15" spans="1:14">
      <c r="A15" s="54" t="s">
        <v>213</v>
      </c>
      <c r="B15" s="54" t="s">
        <v>58</v>
      </c>
      <c r="C15" s="53" t="s">
        <v>214</v>
      </c>
      <c r="D15" s="54" t="s">
        <v>215</v>
      </c>
      <c r="G15" t="s">
        <v>216</v>
      </c>
      <c r="H15" t="s">
        <v>166</v>
      </c>
      <c r="I15" t="s">
        <v>167</v>
      </c>
      <c r="J15">
        <v>7</v>
      </c>
      <c r="K15" t="str">
        <f t="shared" ref="K15" si="11">I15&amp;J15</f>
        <v>EC7</v>
      </c>
    </row>
    <row r="16" spans="1:14">
      <c r="A16" s="54" t="s">
        <v>217</v>
      </c>
      <c r="B16" s="53" t="s">
        <v>218</v>
      </c>
      <c r="C16" s="53" t="s">
        <v>219</v>
      </c>
      <c r="D16" s="53" t="s">
        <v>220</v>
      </c>
      <c r="G16" t="s">
        <v>221</v>
      </c>
      <c r="H16" t="s">
        <v>166</v>
      </c>
      <c r="I16" t="s">
        <v>167</v>
      </c>
      <c r="J16">
        <v>8</v>
      </c>
      <c r="K16" t="str">
        <f t="shared" ref="K16" si="12">I16&amp;J16</f>
        <v>EC8</v>
      </c>
    </row>
    <row r="17" spans="1:11">
      <c r="A17" s="53" t="s">
        <v>222</v>
      </c>
      <c r="B17" s="53" t="s">
        <v>223</v>
      </c>
      <c r="C17" s="53" t="s">
        <v>224</v>
      </c>
      <c r="D17" s="53"/>
      <c r="G17" t="s">
        <v>225</v>
      </c>
      <c r="H17" t="s">
        <v>166</v>
      </c>
      <c r="I17" t="s">
        <v>167</v>
      </c>
      <c r="J17">
        <v>9</v>
      </c>
      <c r="K17" t="str">
        <f t="shared" ref="K17" si="13">I17&amp;J17</f>
        <v>EC9</v>
      </c>
    </row>
    <row r="18" spans="1:11">
      <c r="A18" s="54" t="s">
        <v>226</v>
      </c>
      <c r="B18" s="53" t="s">
        <v>227</v>
      </c>
      <c r="C18" s="53" t="s">
        <v>228</v>
      </c>
      <c r="G18" t="s">
        <v>229</v>
      </c>
      <c r="H18" t="s">
        <v>166</v>
      </c>
      <c r="I18" t="s">
        <v>167</v>
      </c>
      <c r="J18">
        <v>10</v>
      </c>
      <c r="K18" t="str">
        <f t="shared" ref="K18" si="14">I18&amp;J18</f>
        <v>EC10</v>
      </c>
    </row>
    <row r="19" spans="1:11">
      <c r="A19" s="53" t="s">
        <v>230</v>
      </c>
      <c r="B19" s="53"/>
      <c r="C19" s="53" t="s">
        <v>231</v>
      </c>
      <c r="G19" t="s">
        <v>232</v>
      </c>
      <c r="H19" t="s">
        <v>166</v>
      </c>
      <c r="I19" t="s">
        <v>167</v>
      </c>
      <c r="J19">
        <v>11</v>
      </c>
      <c r="K19" t="str">
        <f t="shared" ref="K19" si="15">I19&amp;J19</f>
        <v>EC11</v>
      </c>
    </row>
    <row r="20" spans="1:11">
      <c r="A20" s="53" t="s">
        <v>233</v>
      </c>
      <c r="B20" s="53"/>
      <c r="C20" s="53" t="s">
        <v>234</v>
      </c>
      <c r="G20" t="s">
        <v>235</v>
      </c>
      <c r="H20" t="s">
        <v>166</v>
      </c>
      <c r="I20" t="s">
        <v>167</v>
      </c>
      <c r="J20">
        <v>12</v>
      </c>
      <c r="K20" t="str">
        <f t="shared" ref="K20" si="16">I20&amp;J20</f>
        <v>EC12</v>
      </c>
    </row>
    <row r="21" spans="1:11">
      <c r="A21" s="53" t="s">
        <v>236</v>
      </c>
      <c r="C21" s="53" t="s">
        <v>237</v>
      </c>
      <c r="G21" t="s">
        <v>238</v>
      </c>
      <c r="H21" t="s">
        <v>166</v>
      </c>
      <c r="I21" t="s">
        <v>167</v>
      </c>
      <c r="J21">
        <v>13</v>
      </c>
      <c r="K21" t="str">
        <f t="shared" ref="K21" si="17">I21&amp;J21</f>
        <v>EC13</v>
      </c>
    </row>
    <row r="22" spans="1:11">
      <c r="C22" s="170" t="s">
        <v>52</v>
      </c>
      <c r="G22" t="s">
        <v>239</v>
      </c>
      <c r="H22" t="s">
        <v>166</v>
      </c>
      <c r="I22" t="s">
        <v>167</v>
      </c>
      <c r="J22">
        <v>14</v>
      </c>
      <c r="K22" t="str">
        <f t="shared" ref="K22" si="18">I22&amp;J22</f>
        <v>EC14</v>
      </c>
    </row>
    <row r="23" spans="1:11">
      <c r="C23" s="135" t="s">
        <v>68</v>
      </c>
      <c r="D23" s="135" t="s">
        <v>240</v>
      </c>
      <c r="G23" t="s">
        <v>241</v>
      </c>
      <c r="H23" t="s">
        <v>166</v>
      </c>
      <c r="I23" t="s">
        <v>167</v>
      </c>
      <c r="J23">
        <v>15</v>
      </c>
      <c r="K23" t="str">
        <f t="shared" ref="K23" si="19">I23&amp;J23</f>
        <v>EC15</v>
      </c>
    </row>
    <row r="24" spans="1:11">
      <c r="A24" s="135" t="s">
        <v>63</v>
      </c>
      <c r="C24" s="54" t="s">
        <v>242</v>
      </c>
      <c r="D24" s="54" t="s">
        <v>243</v>
      </c>
      <c r="G24" t="s">
        <v>244</v>
      </c>
      <c r="H24" t="s">
        <v>245</v>
      </c>
      <c r="I24" t="s">
        <v>167</v>
      </c>
      <c r="J24">
        <v>16</v>
      </c>
      <c r="K24" t="str">
        <f t="shared" ref="K24" si="20">I24&amp;J24</f>
        <v>EC16</v>
      </c>
    </row>
    <row r="25" spans="1:11">
      <c r="A25" s="53" t="s">
        <v>246</v>
      </c>
      <c r="C25" s="54" t="s">
        <v>247</v>
      </c>
      <c r="D25" s="54" t="s">
        <v>248</v>
      </c>
      <c r="G25" t="s">
        <v>249</v>
      </c>
      <c r="H25" t="s">
        <v>166</v>
      </c>
      <c r="I25" t="s">
        <v>167</v>
      </c>
      <c r="J25">
        <v>17</v>
      </c>
      <c r="K25" t="str">
        <f t="shared" ref="K25" si="21">I25&amp;J25</f>
        <v>EC17</v>
      </c>
    </row>
    <row r="26" spans="1:11">
      <c r="A26" s="53" t="s">
        <v>250</v>
      </c>
      <c r="C26" s="54" t="s">
        <v>251</v>
      </c>
      <c r="D26" s="54" t="s">
        <v>252</v>
      </c>
      <c r="G26" t="s">
        <v>253</v>
      </c>
      <c r="H26" t="s">
        <v>166</v>
      </c>
      <c r="I26" t="s">
        <v>167</v>
      </c>
      <c r="J26">
        <v>18</v>
      </c>
      <c r="K26" t="str">
        <f t="shared" ref="K26" si="22">I26&amp;J26</f>
        <v>EC18</v>
      </c>
    </row>
    <row r="27" spans="1:11">
      <c r="A27" s="53" t="s">
        <v>254</v>
      </c>
      <c r="C27" s="54" t="s">
        <v>255</v>
      </c>
      <c r="D27" s="54" t="s">
        <v>256</v>
      </c>
      <c r="G27" t="s">
        <v>257</v>
      </c>
      <c r="H27" t="s">
        <v>166</v>
      </c>
      <c r="I27" t="s">
        <v>167</v>
      </c>
      <c r="J27">
        <v>19</v>
      </c>
      <c r="K27" t="str">
        <f t="shared" ref="K27" si="23">I27&amp;J27</f>
        <v>EC19</v>
      </c>
    </row>
    <row r="28" spans="1:11">
      <c r="C28" s="54" t="s">
        <v>258</v>
      </c>
      <c r="D28" s="54" t="s">
        <v>259</v>
      </c>
      <c r="G28" t="s">
        <v>260</v>
      </c>
      <c r="H28" t="s">
        <v>166</v>
      </c>
      <c r="I28" t="s">
        <v>167</v>
      </c>
      <c r="J28">
        <v>20</v>
      </c>
      <c r="K28" t="str">
        <f t="shared" ref="K28" si="24">I28&amp;J28</f>
        <v>EC20</v>
      </c>
    </row>
    <row r="29" spans="1:11">
      <c r="C29" s="54" t="s">
        <v>261</v>
      </c>
      <c r="D29" s="54" t="s">
        <v>262</v>
      </c>
      <c r="G29" t="s">
        <v>263</v>
      </c>
      <c r="H29" t="s">
        <v>166</v>
      </c>
      <c r="I29" t="s">
        <v>167</v>
      </c>
      <c r="J29">
        <v>21</v>
      </c>
      <c r="K29" t="str">
        <f t="shared" ref="K29" si="25">I29&amp;J29</f>
        <v>EC21</v>
      </c>
    </row>
    <row r="30" spans="1:11">
      <c r="A30" s="3" t="s">
        <v>71</v>
      </c>
      <c r="B30" s="3" t="s">
        <v>264</v>
      </c>
      <c r="C30" s="54" t="s">
        <v>265</v>
      </c>
      <c r="D30" s="54" t="s">
        <v>266</v>
      </c>
      <c r="G30" t="s">
        <v>267</v>
      </c>
      <c r="H30" t="s">
        <v>166</v>
      </c>
      <c r="I30" t="s">
        <v>167</v>
      </c>
      <c r="J30">
        <v>22</v>
      </c>
      <c r="K30" t="str">
        <f t="shared" ref="K30" si="26">I30&amp;J30</f>
        <v>EC22</v>
      </c>
    </row>
    <row r="31" spans="1:11">
      <c r="A31" s="177" t="s">
        <v>70</v>
      </c>
      <c r="B31" s="3" t="s">
        <v>268</v>
      </c>
      <c r="C31" s="169" t="s">
        <v>269</v>
      </c>
      <c r="D31" s="169" t="s">
        <v>270</v>
      </c>
      <c r="G31" t="s">
        <v>271</v>
      </c>
      <c r="H31" t="s">
        <v>166</v>
      </c>
      <c r="I31" t="s">
        <v>167</v>
      </c>
      <c r="J31">
        <v>23</v>
      </c>
      <c r="K31" t="str">
        <f t="shared" ref="K31" si="27">I31&amp;J31</f>
        <v>EC23</v>
      </c>
    </row>
    <row r="32" spans="1:11">
      <c r="A32" s="161" t="s">
        <v>272</v>
      </c>
      <c r="B32" s="3" t="s">
        <v>273</v>
      </c>
      <c r="G32" t="s">
        <v>274</v>
      </c>
      <c r="H32" t="s">
        <v>166</v>
      </c>
      <c r="I32" t="s">
        <v>167</v>
      </c>
      <c r="J32">
        <v>24</v>
      </c>
      <c r="K32" t="str">
        <f t="shared" ref="K32" si="28">I32&amp;J32</f>
        <v>EC24</v>
      </c>
    </row>
    <row r="33" spans="1:11">
      <c r="A33" s="161" t="s">
        <v>275</v>
      </c>
      <c r="B33" s="3" t="s">
        <v>276</v>
      </c>
      <c r="G33" t="s">
        <v>277</v>
      </c>
      <c r="H33" t="s">
        <v>166</v>
      </c>
      <c r="I33" t="s">
        <v>167</v>
      </c>
      <c r="J33">
        <v>25</v>
      </c>
      <c r="K33" t="str">
        <f t="shared" ref="K33" si="29">I33&amp;J33</f>
        <v>EC25</v>
      </c>
    </row>
    <row r="34" spans="1:11">
      <c r="A34" s="161" t="s">
        <v>278</v>
      </c>
      <c r="B34" s="3" t="s">
        <v>279</v>
      </c>
      <c r="G34" t="s">
        <v>280</v>
      </c>
      <c r="H34" t="s">
        <v>166</v>
      </c>
      <c r="I34" t="s">
        <v>167</v>
      </c>
      <c r="J34">
        <v>26</v>
      </c>
      <c r="K34" t="str">
        <f t="shared" ref="K34" si="30">I34&amp;J34</f>
        <v>EC26</v>
      </c>
    </row>
    <row r="35" spans="1:11">
      <c r="A35" s="161" t="s">
        <v>281</v>
      </c>
      <c r="B35" s="3" t="s">
        <v>282</v>
      </c>
      <c r="G35" t="s">
        <v>283</v>
      </c>
      <c r="H35" t="s">
        <v>166</v>
      </c>
      <c r="I35" t="s">
        <v>167</v>
      </c>
      <c r="J35">
        <v>27</v>
      </c>
      <c r="K35" t="str">
        <f t="shared" ref="K35" si="31">I35&amp;J35</f>
        <v>EC27</v>
      </c>
    </row>
    <row r="36" spans="1:11">
      <c r="G36" t="s">
        <v>284</v>
      </c>
      <c r="H36" t="s">
        <v>166</v>
      </c>
      <c r="I36" t="s">
        <v>167</v>
      </c>
      <c r="J36">
        <v>28</v>
      </c>
      <c r="K36" t="str">
        <f t="shared" ref="K36" si="32">I36&amp;J36</f>
        <v>EC28</v>
      </c>
    </row>
    <row r="37" spans="1:11">
      <c r="G37" t="s">
        <v>285</v>
      </c>
      <c r="H37" t="s">
        <v>166</v>
      </c>
      <c r="I37" t="s">
        <v>167</v>
      </c>
      <c r="J37">
        <v>29</v>
      </c>
      <c r="K37" t="str">
        <f t="shared" ref="K37" si="33">I37&amp;J37</f>
        <v>EC29</v>
      </c>
    </row>
    <row r="38" spans="1:11">
      <c r="G38" t="s">
        <v>286</v>
      </c>
      <c r="H38" t="s">
        <v>166</v>
      </c>
      <c r="I38" t="s">
        <v>167</v>
      </c>
      <c r="J38">
        <v>30</v>
      </c>
      <c r="K38" t="str">
        <f t="shared" ref="K38" si="34">I38&amp;J38</f>
        <v>EC30</v>
      </c>
    </row>
    <row r="39" spans="1:11">
      <c r="G39" t="s">
        <v>287</v>
      </c>
      <c r="H39" t="s">
        <v>166</v>
      </c>
      <c r="I39" t="s">
        <v>167</v>
      </c>
      <c r="J39">
        <v>31</v>
      </c>
      <c r="K39" t="str">
        <f t="shared" ref="K39" si="35">I39&amp;J39</f>
        <v>EC31</v>
      </c>
    </row>
    <row r="40" spans="1:11">
      <c r="A40" s="135" t="s">
        <v>138</v>
      </c>
      <c r="B40" s="135" t="s">
        <v>53</v>
      </c>
      <c r="G40" t="s">
        <v>288</v>
      </c>
      <c r="H40" t="s">
        <v>166</v>
      </c>
      <c r="I40" t="s">
        <v>167</v>
      </c>
      <c r="J40">
        <v>32</v>
      </c>
      <c r="K40" t="str">
        <f t="shared" ref="K40" si="36">I40&amp;J40</f>
        <v>EC32</v>
      </c>
    </row>
    <row r="41" spans="1:11">
      <c r="A41" s="54" t="s">
        <v>289</v>
      </c>
      <c r="B41" s="54" t="s">
        <v>290</v>
      </c>
      <c r="G41" t="s">
        <v>291</v>
      </c>
      <c r="H41" t="s">
        <v>166</v>
      </c>
      <c r="I41" t="s">
        <v>167</v>
      </c>
      <c r="J41">
        <v>33</v>
      </c>
      <c r="K41" t="str">
        <f t="shared" ref="K41" si="37">I41&amp;J41</f>
        <v>EC33</v>
      </c>
    </row>
    <row r="42" spans="1:11">
      <c r="A42" s="54" t="s">
        <v>48</v>
      </c>
      <c r="B42" s="54" t="s">
        <v>292</v>
      </c>
      <c r="G42" t="s">
        <v>293</v>
      </c>
      <c r="H42" t="s">
        <v>166</v>
      </c>
      <c r="I42" t="s">
        <v>167</v>
      </c>
      <c r="J42">
        <v>34</v>
      </c>
      <c r="K42" t="str">
        <f t="shared" ref="K42" si="38">I42&amp;J42</f>
        <v>EC34</v>
      </c>
    </row>
    <row r="43" spans="1:11">
      <c r="G43" t="s">
        <v>294</v>
      </c>
      <c r="H43" t="s">
        <v>166</v>
      </c>
      <c r="I43" t="s">
        <v>167</v>
      </c>
      <c r="J43">
        <v>35</v>
      </c>
      <c r="K43" t="str">
        <f t="shared" ref="K43" si="39">I43&amp;J43</f>
        <v>EC35</v>
      </c>
    </row>
    <row r="44" spans="1:11">
      <c r="G44" t="s">
        <v>295</v>
      </c>
      <c r="H44" t="s">
        <v>166</v>
      </c>
      <c r="I44" t="s">
        <v>167</v>
      </c>
      <c r="J44">
        <v>36</v>
      </c>
      <c r="K44" t="str">
        <f t="shared" ref="K44" si="40">I44&amp;J44</f>
        <v>EC36</v>
      </c>
    </row>
    <row r="45" spans="1:11">
      <c r="G45" t="s">
        <v>296</v>
      </c>
      <c r="H45" t="s">
        <v>166</v>
      </c>
      <c r="I45" t="s">
        <v>167</v>
      </c>
      <c r="J45">
        <v>37</v>
      </c>
      <c r="K45" t="str">
        <f t="shared" ref="K45" si="41">I45&amp;J45</f>
        <v>EC37</v>
      </c>
    </row>
    <row r="46" spans="1:11">
      <c r="G46" t="s">
        <v>297</v>
      </c>
      <c r="H46" t="s">
        <v>166</v>
      </c>
      <c r="I46" t="s">
        <v>167</v>
      </c>
      <c r="J46">
        <v>38</v>
      </c>
      <c r="K46" t="str">
        <f t="shared" ref="K46" si="42">I46&amp;J46</f>
        <v>EC38</v>
      </c>
    </row>
    <row r="47" spans="1:11">
      <c r="G47" t="s">
        <v>298</v>
      </c>
      <c r="H47" t="s">
        <v>166</v>
      </c>
      <c r="I47" t="s">
        <v>167</v>
      </c>
      <c r="J47">
        <v>39</v>
      </c>
      <c r="K47" t="str">
        <f t="shared" ref="K47" si="43">I47&amp;J47</f>
        <v>EC39</v>
      </c>
    </row>
    <row r="48" spans="1:11">
      <c r="G48" t="s">
        <v>299</v>
      </c>
      <c r="H48" t="s">
        <v>166</v>
      </c>
      <c r="I48" t="s">
        <v>167</v>
      </c>
      <c r="J48">
        <v>40</v>
      </c>
      <c r="K48" t="str">
        <f t="shared" ref="K48" si="44">I48&amp;J48</f>
        <v>EC40</v>
      </c>
    </row>
    <row r="49" spans="7:11">
      <c r="G49" t="s">
        <v>300</v>
      </c>
      <c r="H49" t="s">
        <v>166</v>
      </c>
      <c r="I49" t="s">
        <v>167</v>
      </c>
      <c r="J49">
        <v>41</v>
      </c>
      <c r="K49" t="str">
        <f t="shared" ref="K49" si="45">I49&amp;J49</f>
        <v>EC41</v>
      </c>
    </row>
    <row r="50" spans="7:11">
      <c r="G50" t="s">
        <v>301</v>
      </c>
      <c r="H50" t="s">
        <v>166</v>
      </c>
      <c r="I50" t="s">
        <v>167</v>
      </c>
      <c r="J50">
        <v>42</v>
      </c>
      <c r="K50" t="str">
        <f t="shared" ref="K50" si="46">I50&amp;J50</f>
        <v>EC42</v>
      </c>
    </row>
    <row r="51" spans="7:11">
      <c r="G51" t="s">
        <v>302</v>
      </c>
      <c r="H51" t="s">
        <v>166</v>
      </c>
      <c r="I51" t="s">
        <v>167</v>
      </c>
      <c r="J51">
        <v>43</v>
      </c>
      <c r="K51" t="str">
        <f t="shared" ref="K51" si="47">I51&amp;J51</f>
        <v>EC43</v>
      </c>
    </row>
    <row r="52" spans="7:11">
      <c r="G52" t="s">
        <v>303</v>
      </c>
      <c r="H52" t="s">
        <v>166</v>
      </c>
      <c r="I52" t="s">
        <v>167</v>
      </c>
      <c r="J52">
        <v>44</v>
      </c>
      <c r="K52" t="str">
        <f t="shared" ref="K52" si="48">I52&amp;J52</f>
        <v>EC44</v>
      </c>
    </row>
    <row r="53" spans="7:11">
      <c r="G53" t="s">
        <v>304</v>
      </c>
      <c r="H53" t="s">
        <v>245</v>
      </c>
      <c r="I53" t="s">
        <v>167</v>
      </c>
      <c r="J53">
        <v>45</v>
      </c>
      <c r="K53" t="str">
        <f t="shared" ref="K53" si="49">I53&amp;J53</f>
        <v>EC45</v>
      </c>
    </row>
    <row r="54" spans="7:11">
      <c r="G54" t="s">
        <v>305</v>
      </c>
      <c r="H54" t="s">
        <v>166</v>
      </c>
      <c r="I54" t="s">
        <v>167</v>
      </c>
      <c r="J54">
        <v>46</v>
      </c>
      <c r="K54" t="str">
        <f t="shared" ref="K54" si="50">I54&amp;J54</f>
        <v>EC46</v>
      </c>
    </row>
    <row r="55" spans="7:11">
      <c r="G55" t="s">
        <v>306</v>
      </c>
      <c r="H55" t="s">
        <v>245</v>
      </c>
      <c r="I55" t="s">
        <v>167</v>
      </c>
      <c r="J55">
        <v>47</v>
      </c>
      <c r="K55" t="str">
        <f t="shared" ref="K55" si="51">I55&amp;J55</f>
        <v>EC47</v>
      </c>
    </row>
    <row r="56" spans="7:11">
      <c r="G56" t="s">
        <v>307</v>
      </c>
      <c r="H56" t="s">
        <v>166</v>
      </c>
      <c r="I56" t="s">
        <v>167</v>
      </c>
      <c r="J56">
        <v>48</v>
      </c>
      <c r="K56" t="str">
        <f t="shared" ref="K56" si="52">I56&amp;J56</f>
        <v>EC48</v>
      </c>
    </row>
    <row r="57" spans="7:11">
      <c r="G57" t="s">
        <v>308</v>
      </c>
      <c r="H57" t="s">
        <v>166</v>
      </c>
      <c r="I57" t="s">
        <v>167</v>
      </c>
      <c r="J57">
        <v>49</v>
      </c>
      <c r="K57" t="str">
        <f t="shared" ref="K57" si="53">I57&amp;J57</f>
        <v>EC49</v>
      </c>
    </row>
    <row r="58" spans="7:11">
      <c r="G58" t="s">
        <v>309</v>
      </c>
      <c r="H58" t="s">
        <v>166</v>
      </c>
      <c r="I58" t="s">
        <v>167</v>
      </c>
      <c r="J58">
        <v>50</v>
      </c>
      <c r="K58" t="str">
        <f t="shared" ref="K58" si="54">I58&amp;J58</f>
        <v>EC50</v>
      </c>
    </row>
    <row r="59" spans="7:11">
      <c r="G59" t="s">
        <v>310</v>
      </c>
      <c r="H59" t="s">
        <v>166</v>
      </c>
      <c r="I59" t="s">
        <v>167</v>
      </c>
      <c r="J59">
        <v>51</v>
      </c>
      <c r="K59" t="str">
        <f t="shared" ref="K59" si="55">I59&amp;J59</f>
        <v>EC51</v>
      </c>
    </row>
    <row r="60" spans="7:11">
      <c r="G60" t="s">
        <v>311</v>
      </c>
      <c r="H60" t="s">
        <v>166</v>
      </c>
      <c r="I60" t="s">
        <v>167</v>
      </c>
      <c r="J60">
        <v>52</v>
      </c>
      <c r="K60" t="str">
        <f t="shared" ref="K60" si="56">I60&amp;J60</f>
        <v>EC52</v>
      </c>
    </row>
    <row r="61" spans="7:11">
      <c r="G61" t="s">
        <v>312</v>
      </c>
      <c r="H61" t="s">
        <v>166</v>
      </c>
      <c r="I61" t="s">
        <v>167</v>
      </c>
      <c r="J61">
        <v>53</v>
      </c>
      <c r="K61" t="str">
        <f t="shared" ref="K61" si="57">I61&amp;J61</f>
        <v>EC53</v>
      </c>
    </row>
    <row r="62" spans="7:11">
      <c r="G62" t="s">
        <v>313</v>
      </c>
      <c r="H62" t="s">
        <v>166</v>
      </c>
      <c r="I62" t="s">
        <v>167</v>
      </c>
      <c r="J62">
        <v>54</v>
      </c>
      <c r="K62" t="str">
        <f t="shared" ref="K62" si="58">I62&amp;J62</f>
        <v>EC54</v>
      </c>
    </row>
    <row r="63" spans="7:11">
      <c r="G63" t="s">
        <v>314</v>
      </c>
      <c r="H63" t="s">
        <v>166</v>
      </c>
      <c r="I63" t="s">
        <v>167</v>
      </c>
      <c r="J63">
        <v>55</v>
      </c>
      <c r="K63" t="str">
        <f t="shared" ref="K63" si="59">I63&amp;J63</f>
        <v>EC55</v>
      </c>
    </row>
    <row r="64" spans="7:11">
      <c r="G64" t="s">
        <v>315</v>
      </c>
      <c r="H64" t="s">
        <v>245</v>
      </c>
      <c r="I64" t="s">
        <v>167</v>
      </c>
      <c r="J64">
        <v>56</v>
      </c>
      <c r="K64" t="str">
        <f t="shared" ref="K64" si="60">I64&amp;J64</f>
        <v>EC56</v>
      </c>
    </row>
    <row r="65" spans="7:11">
      <c r="G65" t="s">
        <v>316</v>
      </c>
      <c r="H65" t="s">
        <v>166</v>
      </c>
      <c r="I65" t="s">
        <v>167</v>
      </c>
      <c r="J65">
        <v>57</v>
      </c>
      <c r="K65" t="str">
        <f t="shared" ref="K65" si="61">I65&amp;J65</f>
        <v>EC57</v>
      </c>
    </row>
    <row r="66" spans="7:11">
      <c r="G66" t="s">
        <v>317</v>
      </c>
      <c r="H66" t="s">
        <v>245</v>
      </c>
      <c r="I66" t="s">
        <v>167</v>
      </c>
      <c r="J66">
        <v>58</v>
      </c>
      <c r="K66" t="str">
        <f t="shared" ref="K66" si="62">I66&amp;J66</f>
        <v>EC58</v>
      </c>
    </row>
    <row r="67" spans="7:11">
      <c r="G67" t="s">
        <v>318</v>
      </c>
      <c r="H67" t="s">
        <v>166</v>
      </c>
      <c r="I67" t="s">
        <v>167</v>
      </c>
      <c r="J67">
        <v>59</v>
      </c>
      <c r="K67" t="str">
        <f t="shared" ref="K67" si="63">I67&amp;J67</f>
        <v>EC59</v>
      </c>
    </row>
    <row r="68" spans="7:11">
      <c r="G68" t="s">
        <v>319</v>
      </c>
      <c r="H68" t="s">
        <v>166</v>
      </c>
      <c r="I68" t="s">
        <v>167</v>
      </c>
      <c r="J68">
        <v>60</v>
      </c>
      <c r="K68" t="str">
        <f t="shared" ref="K68" si="64">I68&amp;J68</f>
        <v>EC60</v>
      </c>
    </row>
    <row r="69" spans="7:11">
      <c r="G69" t="s">
        <v>320</v>
      </c>
      <c r="H69" t="s">
        <v>166</v>
      </c>
      <c r="I69" t="s">
        <v>167</v>
      </c>
      <c r="J69">
        <v>61</v>
      </c>
      <c r="K69" t="str">
        <f t="shared" ref="K69" si="65">I69&amp;J69</f>
        <v>EC61</v>
      </c>
    </row>
    <row r="70" spans="7:11">
      <c r="G70" t="s">
        <v>321</v>
      </c>
      <c r="H70" t="s">
        <v>166</v>
      </c>
      <c r="I70" t="s">
        <v>167</v>
      </c>
      <c r="J70">
        <v>62</v>
      </c>
      <c r="K70" t="str">
        <f t="shared" ref="K70" si="66">I70&amp;J70</f>
        <v>EC62</v>
      </c>
    </row>
    <row r="71" spans="7:11">
      <c r="G71" t="s">
        <v>322</v>
      </c>
      <c r="H71" t="s">
        <v>245</v>
      </c>
      <c r="I71" t="s">
        <v>167</v>
      </c>
      <c r="J71">
        <v>63</v>
      </c>
      <c r="K71" t="str">
        <f t="shared" ref="K71" si="67">I71&amp;J71</f>
        <v>EC63</v>
      </c>
    </row>
    <row r="72" spans="7:11">
      <c r="G72" t="s">
        <v>323</v>
      </c>
      <c r="H72" t="s">
        <v>166</v>
      </c>
      <c r="I72" t="s">
        <v>167</v>
      </c>
      <c r="J72">
        <v>64</v>
      </c>
      <c r="K72" t="str">
        <f t="shared" ref="K72" si="68">I72&amp;J72</f>
        <v>EC64</v>
      </c>
    </row>
    <row r="73" spans="7:11">
      <c r="G73" t="s">
        <v>324</v>
      </c>
      <c r="H73" t="s">
        <v>166</v>
      </c>
      <c r="I73" t="s">
        <v>167</v>
      </c>
      <c r="J73">
        <v>65</v>
      </c>
      <c r="K73" t="str">
        <f t="shared" ref="K73" si="69">I73&amp;J73</f>
        <v>EC65</v>
      </c>
    </row>
    <row r="74" spans="7:11">
      <c r="G74" t="s">
        <v>325</v>
      </c>
      <c r="H74" t="s">
        <v>166</v>
      </c>
      <c r="I74" t="s">
        <v>167</v>
      </c>
      <c r="J74">
        <v>66</v>
      </c>
      <c r="K74" t="str">
        <f t="shared" ref="K74" si="70">I74&amp;J74</f>
        <v>EC66</v>
      </c>
    </row>
    <row r="75" spans="7:11">
      <c r="G75" t="s">
        <v>326</v>
      </c>
      <c r="H75" t="s">
        <v>166</v>
      </c>
      <c r="I75" t="s">
        <v>167</v>
      </c>
      <c r="J75">
        <v>67</v>
      </c>
      <c r="K75" t="str">
        <f t="shared" ref="K75" si="71">I75&amp;J75</f>
        <v>EC67</v>
      </c>
    </row>
    <row r="76" spans="7:11">
      <c r="G76" t="s">
        <v>327</v>
      </c>
      <c r="H76" t="s">
        <v>245</v>
      </c>
      <c r="I76" t="s">
        <v>167</v>
      </c>
      <c r="J76">
        <v>68</v>
      </c>
      <c r="K76" t="str">
        <f t="shared" ref="K76" si="72">I76&amp;J76</f>
        <v>EC68</v>
      </c>
    </row>
    <row r="77" spans="7:11">
      <c r="G77" t="s">
        <v>328</v>
      </c>
      <c r="H77" t="s">
        <v>166</v>
      </c>
      <c r="I77" t="s">
        <v>167</v>
      </c>
      <c r="J77">
        <v>69</v>
      </c>
      <c r="K77" t="str">
        <f t="shared" ref="K77" si="73">I77&amp;J77</f>
        <v>EC69</v>
      </c>
    </row>
    <row r="78" spans="7:11">
      <c r="G78" t="s">
        <v>329</v>
      </c>
      <c r="H78" t="s">
        <v>166</v>
      </c>
      <c r="I78" t="s">
        <v>167</v>
      </c>
      <c r="J78">
        <v>70</v>
      </c>
      <c r="K78" t="str">
        <f t="shared" ref="K78" si="74">I78&amp;J78</f>
        <v>EC70</v>
      </c>
    </row>
    <row r="79" spans="7:11">
      <c r="G79" t="s">
        <v>330</v>
      </c>
      <c r="H79" t="s">
        <v>166</v>
      </c>
      <c r="I79" t="s">
        <v>167</v>
      </c>
      <c r="J79">
        <v>71</v>
      </c>
      <c r="K79" t="str">
        <f t="shared" ref="K79" si="75">I79&amp;J79</f>
        <v>EC71</v>
      </c>
    </row>
    <row r="80" spans="7:11">
      <c r="G80" t="s">
        <v>331</v>
      </c>
      <c r="H80" t="s">
        <v>166</v>
      </c>
      <c r="I80" t="s">
        <v>167</v>
      </c>
      <c r="J80">
        <v>72</v>
      </c>
      <c r="K80" t="str">
        <f t="shared" ref="K80" si="76">I80&amp;J80</f>
        <v>EC72</v>
      </c>
    </row>
    <row r="81" spans="7:11">
      <c r="G81" t="s">
        <v>332</v>
      </c>
      <c r="H81" t="s">
        <v>166</v>
      </c>
      <c r="I81" t="s">
        <v>167</v>
      </c>
      <c r="J81">
        <v>73</v>
      </c>
      <c r="K81" t="str">
        <f t="shared" ref="K81" si="77">I81&amp;J81</f>
        <v>EC73</v>
      </c>
    </row>
    <row r="82" spans="7:11">
      <c r="G82" t="s">
        <v>333</v>
      </c>
      <c r="H82" t="s">
        <v>166</v>
      </c>
      <c r="I82" t="s">
        <v>167</v>
      </c>
      <c r="J82">
        <v>74</v>
      </c>
      <c r="K82" t="str">
        <f t="shared" ref="K82" si="78">I82&amp;J82</f>
        <v>EC74</v>
      </c>
    </row>
    <row r="83" spans="7:11">
      <c r="G83" t="s">
        <v>334</v>
      </c>
      <c r="H83" t="s">
        <v>166</v>
      </c>
      <c r="I83" t="s">
        <v>167</v>
      </c>
      <c r="J83">
        <v>75</v>
      </c>
      <c r="K83" t="str">
        <f t="shared" ref="K83" si="79">I83&amp;J83</f>
        <v>EC75</v>
      </c>
    </row>
    <row r="84" spans="7:11">
      <c r="G84" t="s">
        <v>335</v>
      </c>
      <c r="H84" t="s">
        <v>166</v>
      </c>
      <c r="I84" t="s">
        <v>167</v>
      </c>
      <c r="J84">
        <v>76</v>
      </c>
      <c r="K84" t="str">
        <f t="shared" ref="K84" si="80">I84&amp;J84</f>
        <v>EC76</v>
      </c>
    </row>
    <row r="85" spans="7:11">
      <c r="G85" t="s">
        <v>336</v>
      </c>
      <c r="H85" t="s">
        <v>166</v>
      </c>
      <c r="I85" t="s">
        <v>167</v>
      </c>
      <c r="J85">
        <v>77</v>
      </c>
      <c r="K85" t="str">
        <f t="shared" ref="K85" si="81">I85&amp;J85</f>
        <v>EC77</v>
      </c>
    </row>
    <row r="86" spans="7:11">
      <c r="G86" t="s">
        <v>337</v>
      </c>
      <c r="H86" t="s">
        <v>166</v>
      </c>
      <c r="I86" t="s">
        <v>167</v>
      </c>
      <c r="J86">
        <v>78</v>
      </c>
      <c r="K86" t="str">
        <f t="shared" ref="K86" si="82">I86&amp;J86</f>
        <v>EC78</v>
      </c>
    </row>
    <row r="87" spans="7:11">
      <c r="G87" t="s">
        <v>338</v>
      </c>
      <c r="H87" t="s">
        <v>166</v>
      </c>
      <c r="I87" t="s">
        <v>167</v>
      </c>
      <c r="J87">
        <v>79</v>
      </c>
      <c r="K87" t="str">
        <f t="shared" ref="K87" si="83">I87&amp;J87</f>
        <v>EC79</v>
      </c>
    </row>
    <row r="88" spans="7:11">
      <c r="G88" t="s">
        <v>339</v>
      </c>
      <c r="H88" t="s">
        <v>166</v>
      </c>
      <c r="I88" t="s">
        <v>167</v>
      </c>
      <c r="J88">
        <v>80</v>
      </c>
      <c r="K88" t="str">
        <f t="shared" ref="K88" si="84">I88&amp;J88</f>
        <v>EC80</v>
      </c>
    </row>
    <row r="89" spans="7:11">
      <c r="G89" t="s">
        <v>340</v>
      </c>
      <c r="H89" t="s">
        <v>166</v>
      </c>
      <c r="I89" t="s">
        <v>167</v>
      </c>
      <c r="J89">
        <v>81</v>
      </c>
      <c r="K89" t="str">
        <f t="shared" ref="K89" si="85">I89&amp;J89</f>
        <v>EC81</v>
      </c>
    </row>
    <row r="90" spans="7:11">
      <c r="G90" t="s">
        <v>341</v>
      </c>
      <c r="H90" t="s">
        <v>166</v>
      </c>
      <c r="I90" t="s">
        <v>167</v>
      </c>
      <c r="J90">
        <v>82</v>
      </c>
      <c r="K90" t="str">
        <f t="shared" ref="K90" si="86">I90&amp;J90</f>
        <v>EC82</v>
      </c>
    </row>
    <row r="91" spans="7:11">
      <c r="G91" t="s">
        <v>342</v>
      </c>
      <c r="H91" t="s">
        <v>166</v>
      </c>
      <c r="I91" t="s">
        <v>167</v>
      </c>
      <c r="J91">
        <v>83</v>
      </c>
      <c r="K91" t="str">
        <f t="shared" ref="K91" si="87">I91&amp;J91</f>
        <v>EC83</v>
      </c>
    </row>
    <row r="92" spans="7:11">
      <c r="G92" t="s">
        <v>343</v>
      </c>
      <c r="H92" t="s">
        <v>166</v>
      </c>
      <c r="I92" t="s">
        <v>167</v>
      </c>
      <c r="J92">
        <v>84</v>
      </c>
      <c r="K92" t="str">
        <f t="shared" ref="K92" si="88">I92&amp;J92</f>
        <v>EC84</v>
      </c>
    </row>
    <row r="93" spans="7:11">
      <c r="G93" t="s">
        <v>344</v>
      </c>
      <c r="H93" t="s">
        <v>166</v>
      </c>
      <c r="I93" t="s">
        <v>167</v>
      </c>
      <c r="J93">
        <v>85</v>
      </c>
      <c r="K93" t="str">
        <f t="shared" ref="K93" si="89">I93&amp;J93</f>
        <v>EC85</v>
      </c>
    </row>
    <row r="94" spans="7:11" ht="14.4">
      <c r="G94" t="s">
        <v>345</v>
      </c>
      <c r="H94" t="s">
        <v>166</v>
      </c>
      <c r="I94" t="s">
        <v>167</v>
      </c>
      <c r="J94">
        <v>86</v>
      </c>
      <c r="K94" t="str">
        <f t="shared" ref="K94" si="90">I94&amp;J94</f>
        <v>EC86</v>
      </c>
    </row>
    <row r="95" spans="7:11">
      <c r="G95" t="s">
        <v>346</v>
      </c>
      <c r="H95" t="s">
        <v>166</v>
      </c>
      <c r="I95" t="s">
        <v>167</v>
      </c>
      <c r="J95">
        <v>87</v>
      </c>
      <c r="K95" t="str">
        <f t="shared" ref="K95" si="91">I95&amp;J95</f>
        <v>EC87</v>
      </c>
    </row>
    <row r="96" spans="7:11">
      <c r="G96" t="s">
        <v>347</v>
      </c>
      <c r="H96" t="s">
        <v>166</v>
      </c>
      <c r="I96" t="s">
        <v>167</v>
      </c>
      <c r="J96">
        <v>88</v>
      </c>
      <c r="K96" t="str">
        <f t="shared" ref="K96" si="92">I96&amp;J96</f>
        <v>EC88</v>
      </c>
    </row>
    <row r="97" spans="7:11">
      <c r="G97" t="s">
        <v>348</v>
      </c>
      <c r="H97" t="s">
        <v>166</v>
      </c>
      <c r="I97" t="s">
        <v>167</v>
      </c>
      <c r="J97">
        <v>89</v>
      </c>
      <c r="K97" t="str">
        <f t="shared" ref="K97" si="93">I97&amp;J97</f>
        <v>EC89</v>
      </c>
    </row>
    <row r="98" spans="7:11">
      <c r="G98" t="s">
        <v>349</v>
      </c>
      <c r="H98" t="s">
        <v>166</v>
      </c>
      <c r="I98" t="s">
        <v>167</v>
      </c>
      <c r="J98">
        <v>90</v>
      </c>
      <c r="K98" t="str">
        <f t="shared" ref="K98" si="94">I98&amp;J98</f>
        <v>EC90</v>
      </c>
    </row>
    <row r="99" spans="7:11">
      <c r="G99" t="s">
        <v>350</v>
      </c>
      <c r="H99" t="s">
        <v>166</v>
      </c>
      <c r="I99" t="s">
        <v>167</v>
      </c>
      <c r="J99">
        <v>91</v>
      </c>
      <c r="K99" t="str">
        <f t="shared" ref="K99" si="95">I99&amp;J99</f>
        <v>EC91</v>
      </c>
    </row>
    <row r="100" spans="7:11">
      <c r="G100" t="s">
        <v>351</v>
      </c>
      <c r="H100" t="s">
        <v>166</v>
      </c>
      <c r="I100" t="s">
        <v>167</v>
      </c>
      <c r="J100">
        <v>92</v>
      </c>
      <c r="K100" t="str">
        <f t="shared" ref="K100" si="96">I100&amp;J100</f>
        <v>EC92</v>
      </c>
    </row>
    <row r="101" spans="7:11">
      <c r="G101" t="s">
        <v>352</v>
      </c>
      <c r="H101" t="s">
        <v>166</v>
      </c>
      <c r="I101" t="s">
        <v>167</v>
      </c>
      <c r="J101">
        <v>93</v>
      </c>
      <c r="K101" t="str">
        <f t="shared" ref="K101" si="97">I101&amp;J101</f>
        <v>EC93</v>
      </c>
    </row>
    <row r="102" spans="7:11">
      <c r="G102" t="s">
        <v>353</v>
      </c>
      <c r="H102" t="s">
        <v>166</v>
      </c>
      <c r="I102" t="s">
        <v>167</v>
      </c>
      <c r="J102">
        <v>94</v>
      </c>
      <c r="K102" t="str">
        <f t="shared" ref="K102" si="98">I102&amp;J102</f>
        <v>EC94</v>
      </c>
    </row>
    <row r="103" spans="7:11">
      <c r="G103" t="s">
        <v>354</v>
      </c>
      <c r="H103" t="s">
        <v>166</v>
      </c>
      <c r="I103" t="s">
        <v>167</v>
      </c>
      <c r="J103">
        <v>95</v>
      </c>
      <c r="K103" t="str">
        <f t="shared" ref="K103" si="99">I103&amp;J103</f>
        <v>EC95</v>
      </c>
    </row>
    <row r="104" spans="7:11">
      <c r="G104" t="s">
        <v>355</v>
      </c>
      <c r="H104" t="s">
        <v>166</v>
      </c>
      <c r="I104" t="s">
        <v>167</v>
      </c>
      <c r="J104">
        <v>96</v>
      </c>
      <c r="K104" t="str">
        <f t="shared" ref="K104" si="100">I104&amp;J104</f>
        <v>EC96</v>
      </c>
    </row>
    <row r="105" spans="7:11">
      <c r="G105" t="s">
        <v>356</v>
      </c>
      <c r="H105" t="s">
        <v>166</v>
      </c>
      <c r="I105" t="s">
        <v>167</v>
      </c>
      <c r="J105">
        <v>97</v>
      </c>
      <c r="K105" t="str">
        <f t="shared" ref="K105" si="101">I105&amp;J105</f>
        <v>EC97</v>
      </c>
    </row>
    <row r="106" spans="7:11">
      <c r="G106" t="s">
        <v>357</v>
      </c>
      <c r="H106" t="s">
        <v>166</v>
      </c>
      <c r="I106" t="s">
        <v>167</v>
      </c>
      <c r="J106">
        <v>98</v>
      </c>
      <c r="K106" t="str">
        <f t="shared" ref="K106" si="102">I106&amp;J106</f>
        <v>EC98</v>
      </c>
    </row>
    <row r="107" spans="7:11">
      <c r="G107" t="s">
        <v>358</v>
      </c>
      <c r="H107" t="s">
        <v>166</v>
      </c>
      <c r="I107" t="s">
        <v>167</v>
      </c>
      <c r="J107">
        <v>99</v>
      </c>
      <c r="K107" t="str">
        <f t="shared" ref="K107" si="103">I107&amp;J107</f>
        <v>EC99</v>
      </c>
    </row>
    <row r="108" spans="7:11">
      <c r="G108" t="s">
        <v>359</v>
      </c>
      <c r="H108" t="s">
        <v>166</v>
      </c>
      <c r="I108" t="s">
        <v>167</v>
      </c>
      <c r="J108">
        <v>100</v>
      </c>
      <c r="K108" t="str">
        <f t="shared" ref="K108" si="104">I108&amp;J108</f>
        <v>EC100</v>
      </c>
    </row>
    <row r="109" spans="7:11">
      <c r="G109" t="s">
        <v>360</v>
      </c>
      <c r="H109" t="s">
        <v>166</v>
      </c>
      <c r="I109" t="s">
        <v>167</v>
      </c>
      <c r="J109">
        <v>101</v>
      </c>
      <c r="K109" t="str">
        <f t="shared" ref="K109" si="105">I109&amp;J109</f>
        <v>EC101</v>
      </c>
    </row>
    <row r="110" spans="7:11">
      <c r="G110" t="s">
        <v>361</v>
      </c>
      <c r="H110" t="s">
        <v>166</v>
      </c>
      <c r="I110" t="s">
        <v>167</v>
      </c>
      <c r="J110">
        <v>102</v>
      </c>
      <c r="K110" t="str">
        <f t="shared" ref="K110" si="106">I110&amp;J110</f>
        <v>EC102</v>
      </c>
    </row>
    <row r="111" spans="7:11">
      <c r="G111" t="s">
        <v>362</v>
      </c>
      <c r="H111" t="s">
        <v>166</v>
      </c>
      <c r="I111" t="s">
        <v>167</v>
      </c>
      <c r="J111">
        <v>103</v>
      </c>
      <c r="K111" t="str">
        <f t="shared" ref="K111" si="107">I111&amp;J111</f>
        <v>EC103</v>
      </c>
    </row>
    <row r="112" spans="7:11">
      <c r="G112" t="s">
        <v>363</v>
      </c>
      <c r="H112" t="s">
        <v>166</v>
      </c>
      <c r="I112" t="s">
        <v>167</v>
      </c>
      <c r="J112">
        <v>104</v>
      </c>
      <c r="K112" t="str">
        <f t="shared" ref="K112" si="108">I112&amp;J112</f>
        <v>EC104</v>
      </c>
    </row>
    <row r="113" spans="7:11">
      <c r="G113" t="s">
        <v>364</v>
      </c>
      <c r="H113" t="s">
        <v>166</v>
      </c>
      <c r="I113" t="s">
        <v>167</v>
      </c>
      <c r="J113">
        <v>105</v>
      </c>
      <c r="K113" t="str">
        <f t="shared" ref="K113" si="109">I113&amp;J113</f>
        <v>EC105</v>
      </c>
    </row>
    <row r="114" spans="7:11">
      <c r="G114" t="s">
        <v>365</v>
      </c>
      <c r="H114" t="s">
        <v>166</v>
      </c>
      <c r="I114" t="s">
        <v>167</v>
      </c>
      <c r="J114">
        <v>106</v>
      </c>
      <c r="K114" t="str">
        <f t="shared" ref="K114" si="110">I114&amp;J114</f>
        <v>EC106</v>
      </c>
    </row>
    <row r="115" spans="7:11">
      <c r="G115" t="s">
        <v>366</v>
      </c>
      <c r="H115" t="s">
        <v>166</v>
      </c>
      <c r="I115" t="s">
        <v>167</v>
      </c>
      <c r="J115">
        <v>107</v>
      </c>
      <c r="K115" t="str">
        <f t="shared" ref="K115" si="111">I115&amp;J115</f>
        <v>EC107</v>
      </c>
    </row>
    <row r="116" spans="7:11">
      <c r="G116" t="s">
        <v>367</v>
      </c>
      <c r="H116" t="s">
        <v>166</v>
      </c>
      <c r="I116" t="s">
        <v>167</v>
      </c>
      <c r="J116">
        <v>108</v>
      </c>
      <c r="K116" t="str">
        <f t="shared" ref="K116" si="112">I116&amp;J116</f>
        <v>EC108</v>
      </c>
    </row>
    <row r="117" spans="7:11">
      <c r="G117" t="s">
        <v>368</v>
      </c>
      <c r="H117" t="s">
        <v>166</v>
      </c>
      <c r="I117" t="s">
        <v>167</v>
      </c>
      <c r="J117">
        <v>109</v>
      </c>
      <c r="K117" t="str">
        <f t="shared" ref="K117:K118" si="113">I117&amp;J117</f>
        <v>EC109</v>
      </c>
    </row>
    <row r="118" spans="7:11">
      <c r="G118" s="3" t="s">
        <v>330</v>
      </c>
      <c r="H118" t="s">
        <v>166</v>
      </c>
      <c r="I118" t="s">
        <v>167</v>
      </c>
      <c r="J118">
        <v>110</v>
      </c>
      <c r="K118" t="str">
        <f t="shared" si="113"/>
        <v>EC110</v>
      </c>
    </row>
    <row r="119" spans="7:11">
      <c r="G119" t="s">
        <v>369</v>
      </c>
      <c r="H119" t="s">
        <v>173</v>
      </c>
      <c r="I119" t="s">
        <v>174</v>
      </c>
      <c r="J119">
        <v>1</v>
      </c>
      <c r="K119" t="str">
        <f t="shared" ref="K119" si="114">I119&amp;J119</f>
        <v>EP1</v>
      </c>
    </row>
    <row r="120" spans="7:11">
      <c r="G120" t="s">
        <v>370</v>
      </c>
      <c r="H120" t="s">
        <v>173</v>
      </c>
      <c r="I120" t="s">
        <v>174</v>
      </c>
      <c r="J120">
        <v>2</v>
      </c>
      <c r="K120" t="str">
        <f t="shared" ref="K120" si="115">I120&amp;J120</f>
        <v>EP2</v>
      </c>
    </row>
    <row r="121" spans="7:11">
      <c r="G121" t="s">
        <v>371</v>
      </c>
      <c r="H121" t="s">
        <v>173</v>
      </c>
      <c r="I121" t="s">
        <v>174</v>
      </c>
      <c r="J121">
        <v>3</v>
      </c>
      <c r="K121" t="str">
        <f t="shared" ref="K121" si="116">I121&amp;J121</f>
        <v>EP3</v>
      </c>
    </row>
    <row r="122" spans="7:11">
      <c r="G122" t="s">
        <v>372</v>
      </c>
      <c r="H122" t="s">
        <v>173</v>
      </c>
      <c r="I122" t="s">
        <v>174</v>
      </c>
      <c r="J122">
        <v>4</v>
      </c>
      <c r="K122" t="str">
        <f t="shared" ref="K122" si="117">I122&amp;J122</f>
        <v>EP4</v>
      </c>
    </row>
    <row r="123" spans="7:11">
      <c r="G123" t="s">
        <v>373</v>
      </c>
      <c r="H123" t="s">
        <v>173</v>
      </c>
      <c r="I123" t="s">
        <v>174</v>
      </c>
      <c r="J123">
        <v>5</v>
      </c>
      <c r="K123" t="str">
        <f t="shared" ref="K123" si="118">I123&amp;J123</f>
        <v>EP5</v>
      </c>
    </row>
    <row r="124" spans="7:11">
      <c r="G124" t="s">
        <v>374</v>
      </c>
      <c r="H124" t="s">
        <v>173</v>
      </c>
      <c r="I124" t="s">
        <v>174</v>
      </c>
      <c r="J124">
        <v>6</v>
      </c>
      <c r="K124" t="str">
        <f t="shared" ref="K124" si="119">I124&amp;J124</f>
        <v>EP6</v>
      </c>
    </row>
    <row r="125" spans="7:11">
      <c r="G125" t="s">
        <v>375</v>
      </c>
      <c r="H125" t="s">
        <v>173</v>
      </c>
      <c r="I125" t="s">
        <v>174</v>
      </c>
      <c r="J125">
        <v>7</v>
      </c>
      <c r="K125" t="str">
        <f t="shared" ref="K125" si="120">I125&amp;J125</f>
        <v>EP7</v>
      </c>
    </row>
    <row r="126" spans="7:11">
      <c r="G126" t="s">
        <v>376</v>
      </c>
      <c r="H126" t="s">
        <v>173</v>
      </c>
      <c r="I126" t="s">
        <v>174</v>
      </c>
      <c r="J126">
        <v>8</v>
      </c>
      <c r="K126" t="str">
        <f t="shared" ref="K126" si="121">I126&amp;J126</f>
        <v>EP8</v>
      </c>
    </row>
    <row r="127" spans="7:11">
      <c r="G127" t="s">
        <v>377</v>
      </c>
      <c r="H127" t="s">
        <v>173</v>
      </c>
      <c r="I127" t="s">
        <v>174</v>
      </c>
      <c r="J127">
        <v>9</v>
      </c>
      <c r="K127" t="str">
        <f t="shared" ref="K127" si="122">I127&amp;J127</f>
        <v>EP9</v>
      </c>
    </row>
    <row r="128" spans="7:11">
      <c r="G128" t="s">
        <v>378</v>
      </c>
      <c r="H128" t="s">
        <v>173</v>
      </c>
      <c r="I128" t="s">
        <v>174</v>
      </c>
      <c r="J128">
        <v>10</v>
      </c>
      <c r="K128" t="str">
        <f t="shared" ref="K128" si="123">I128&amp;J128</f>
        <v>EP10</v>
      </c>
    </row>
    <row r="129" spans="7:11">
      <c r="G129" t="s">
        <v>379</v>
      </c>
      <c r="H129" t="s">
        <v>173</v>
      </c>
      <c r="I129" t="s">
        <v>174</v>
      </c>
      <c r="J129">
        <v>11</v>
      </c>
      <c r="K129" t="str">
        <f t="shared" ref="K129" si="124">I129&amp;J129</f>
        <v>EP11</v>
      </c>
    </row>
    <row r="130" spans="7:11">
      <c r="G130" t="s">
        <v>380</v>
      </c>
      <c r="H130" t="s">
        <v>173</v>
      </c>
      <c r="I130" t="s">
        <v>174</v>
      </c>
      <c r="J130">
        <v>12</v>
      </c>
      <c r="K130" t="str">
        <f t="shared" ref="K130" si="125">I130&amp;J130</f>
        <v>EP12</v>
      </c>
    </row>
    <row r="131" spans="7:11">
      <c r="G131" t="s">
        <v>381</v>
      </c>
      <c r="H131" t="s">
        <v>173</v>
      </c>
      <c r="I131" t="s">
        <v>174</v>
      </c>
      <c r="J131">
        <v>13</v>
      </c>
      <c r="K131" t="str">
        <f t="shared" ref="K131" si="126">I131&amp;J131</f>
        <v>EP13</v>
      </c>
    </row>
    <row r="132" spans="7:11">
      <c r="G132" t="s">
        <v>382</v>
      </c>
      <c r="H132" t="s">
        <v>173</v>
      </c>
      <c r="I132" t="s">
        <v>174</v>
      </c>
      <c r="J132">
        <v>14</v>
      </c>
      <c r="K132" t="str">
        <f t="shared" ref="K132" si="127">I132&amp;J132</f>
        <v>EP14</v>
      </c>
    </row>
    <row r="133" spans="7:11">
      <c r="G133" t="s">
        <v>383</v>
      </c>
      <c r="H133" t="s">
        <v>173</v>
      </c>
      <c r="I133" t="s">
        <v>174</v>
      </c>
      <c r="J133">
        <v>15</v>
      </c>
      <c r="K133" t="str">
        <f t="shared" ref="K133" si="128">I133&amp;J133</f>
        <v>EP15</v>
      </c>
    </row>
    <row r="134" spans="7:11">
      <c r="G134" t="s">
        <v>384</v>
      </c>
      <c r="H134" t="s">
        <v>173</v>
      </c>
      <c r="I134" t="s">
        <v>174</v>
      </c>
      <c r="J134">
        <v>16</v>
      </c>
      <c r="K134" t="str">
        <f t="shared" ref="K134" si="129">I134&amp;J134</f>
        <v>EP16</v>
      </c>
    </row>
    <row r="135" spans="7:11">
      <c r="G135" t="s">
        <v>385</v>
      </c>
      <c r="H135" t="s">
        <v>173</v>
      </c>
      <c r="I135" t="s">
        <v>174</v>
      </c>
      <c r="J135">
        <v>17</v>
      </c>
      <c r="K135" t="str">
        <f t="shared" ref="K135" si="130">I135&amp;J135</f>
        <v>EP17</v>
      </c>
    </row>
    <row r="136" spans="7:11">
      <c r="G136" t="s">
        <v>386</v>
      </c>
      <c r="H136" t="s">
        <v>173</v>
      </c>
      <c r="I136" t="s">
        <v>174</v>
      </c>
      <c r="J136">
        <v>18</v>
      </c>
      <c r="K136" t="str">
        <f t="shared" ref="K136" si="131">I136&amp;J136</f>
        <v>EP18</v>
      </c>
    </row>
    <row r="137" spans="7:11">
      <c r="G137" t="s">
        <v>387</v>
      </c>
      <c r="H137" t="s">
        <v>173</v>
      </c>
      <c r="I137" t="s">
        <v>174</v>
      </c>
      <c r="J137">
        <v>19</v>
      </c>
      <c r="K137" t="str">
        <f t="shared" ref="K137" si="132">I137&amp;J137</f>
        <v>EP19</v>
      </c>
    </row>
    <row r="138" spans="7:11">
      <c r="G138" t="s">
        <v>388</v>
      </c>
      <c r="H138" t="s">
        <v>173</v>
      </c>
      <c r="I138" t="s">
        <v>174</v>
      </c>
      <c r="J138">
        <v>20</v>
      </c>
      <c r="K138" t="str">
        <f t="shared" ref="K138" si="133">I138&amp;J138</f>
        <v>EP20</v>
      </c>
    </row>
    <row r="139" spans="7:11">
      <c r="G139" t="s">
        <v>389</v>
      </c>
      <c r="H139" t="s">
        <v>173</v>
      </c>
      <c r="I139" t="s">
        <v>174</v>
      </c>
      <c r="J139">
        <v>21</v>
      </c>
      <c r="K139" t="str">
        <f t="shared" ref="K139" si="134">I139&amp;J139</f>
        <v>EP21</v>
      </c>
    </row>
    <row r="140" spans="7:11">
      <c r="G140" t="s">
        <v>390</v>
      </c>
      <c r="H140" t="s">
        <v>173</v>
      </c>
      <c r="I140" t="s">
        <v>174</v>
      </c>
      <c r="J140">
        <v>22</v>
      </c>
      <c r="K140" t="str">
        <f t="shared" ref="K140" si="135">I140&amp;J140</f>
        <v>EP22</v>
      </c>
    </row>
    <row r="141" spans="7:11">
      <c r="G141" t="s">
        <v>391</v>
      </c>
      <c r="H141" t="s">
        <v>173</v>
      </c>
      <c r="I141" t="s">
        <v>174</v>
      </c>
      <c r="J141">
        <v>23</v>
      </c>
      <c r="K141" t="str">
        <f t="shared" ref="K141" si="136">I141&amp;J141</f>
        <v>EP23</v>
      </c>
    </row>
    <row r="142" spans="7:11">
      <c r="G142" t="s">
        <v>392</v>
      </c>
      <c r="H142" t="s">
        <v>173</v>
      </c>
      <c r="I142" t="s">
        <v>174</v>
      </c>
      <c r="J142">
        <v>24</v>
      </c>
      <c r="K142" t="str">
        <f t="shared" ref="K142" si="137">I142&amp;J142</f>
        <v>EP24</v>
      </c>
    </row>
    <row r="143" spans="7:11">
      <c r="G143" t="s">
        <v>393</v>
      </c>
      <c r="H143" t="s">
        <v>173</v>
      </c>
      <c r="I143" t="s">
        <v>174</v>
      </c>
      <c r="J143">
        <v>25</v>
      </c>
      <c r="K143" t="str">
        <f t="shared" ref="K143" si="138">I143&amp;J143</f>
        <v>EP25</v>
      </c>
    </row>
    <row r="144" spans="7:11">
      <c r="G144" t="s">
        <v>394</v>
      </c>
      <c r="H144" t="s">
        <v>173</v>
      </c>
      <c r="I144" t="s">
        <v>174</v>
      </c>
      <c r="J144">
        <v>26</v>
      </c>
      <c r="K144" t="str">
        <f t="shared" ref="K144" si="139">I144&amp;J144</f>
        <v>EP26</v>
      </c>
    </row>
    <row r="145" spans="7:11">
      <c r="G145" t="s">
        <v>395</v>
      </c>
      <c r="H145" t="s">
        <v>173</v>
      </c>
      <c r="I145" t="s">
        <v>174</v>
      </c>
      <c r="J145">
        <v>27</v>
      </c>
      <c r="K145" t="str">
        <f t="shared" ref="K145" si="140">I145&amp;J145</f>
        <v>EP27</v>
      </c>
    </row>
    <row r="146" spans="7:11">
      <c r="G146" t="s">
        <v>396</v>
      </c>
      <c r="H146" t="s">
        <v>173</v>
      </c>
      <c r="I146" t="s">
        <v>174</v>
      </c>
      <c r="J146">
        <v>28</v>
      </c>
      <c r="K146" t="str">
        <f t="shared" ref="K146" si="141">I146&amp;J146</f>
        <v>EP28</v>
      </c>
    </row>
    <row r="147" spans="7:11">
      <c r="G147" t="s">
        <v>397</v>
      </c>
      <c r="H147" t="s">
        <v>173</v>
      </c>
      <c r="I147" t="s">
        <v>174</v>
      </c>
      <c r="J147">
        <v>29</v>
      </c>
      <c r="K147" t="str">
        <f t="shared" ref="K147" si="142">I147&amp;J147</f>
        <v>EP29</v>
      </c>
    </row>
    <row r="148" spans="7:11">
      <c r="G148" t="s">
        <v>398</v>
      </c>
      <c r="H148" t="s">
        <v>173</v>
      </c>
      <c r="I148" t="s">
        <v>174</v>
      </c>
      <c r="J148">
        <v>30</v>
      </c>
      <c r="K148" t="str">
        <f t="shared" ref="K148" si="143">I148&amp;J148</f>
        <v>EP30</v>
      </c>
    </row>
    <row r="149" spans="7:11">
      <c r="G149" t="s">
        <v>399</v>
      </c>
      <c r="H149" t="s">
        <v>173</v>
      </c>
      <c r="I149" t="s">
        <v>174</v>
      </c>
      <c r="J149">
        <v>31</v>
      </c>
      <c r="K149" t="str">
        <f t="shared" ref="K149" si="144">I149&amp;J149</f>
        <v>EP31</v>
      </c>
    </row>
    <row r="150" spans="7:11">
      <c r="G150" t="s">
        <v>400</v>
      </c>
      <c r="H150" t="s">
        <v>173</v>
      </c>
      <c r="I150" t="s">
        <v>174</v>
      </c>
      <c r="J150">
        <v>32</v>
      </c>
      <c r="K150" t="str">
        <f t="shared" ref="K150" si="145">I150&amp;J150</f>
        <v>EP32</v>
      </c>
    </row>
    <row r="151" spans="7:11">
      <c r="G151" t="s">
        <v>401</v>
      </c>
      <c r="H151" t="s">
        <v>173</v>
      </c>
      <c r="I151" t="s">
        <v>174</v>
      </c>
      <c r="J151">
        <v>33</v>
      </c>
      <c r="K151" t="str">
        <f t="shared" ref="K151" si="146">I151&amp;J151</f>
        <v>EP33</v>
      </c>
    </row>
    <row r="152" spans="7:11">
      <c r="G152" t="s">
        <v>402</v>
      </c>
      <c r="H152" t="s">
        <v>173</v>
      </c>
      <c r="I152" t="s">
        <v>174</v>
      </c>
      <c r="J152">
        <v>34</v>
      </c>
      <c r="K152" t="str">
        <f t="shared" ref="K152" si="147">I152&amp;J152</f>
        <v>EP34</v>
      </c>
    </row>
    <row r="153" spans="7:11">
      <c r="G153" t="s">
        <v>403</v>
      </c>
      <c r="H153" t="s">
        <v>173</v>
      </c>
      <c r="I153" t="s">
        <v>174</v>
      </c>
      <c r="J153">
        <v>35</v>
      </c>
      <c r="K153" t="str">
        <f t="shared" ref="K153" si="148">I153&amp;J153</f>
        <v>EP35</v>
      </c>
    </row>
    <row r="154" spans="7:11">
      <c r="G154" t="s">
        <v>404</v>
      </c>
      <c r="H154" t="s">
        <v>173</v>
      </c>
      <c r="I154" t="s">
        <v>174</v>
      </c>
      <c r="J154">
        <v>36</v>
      </c>
      <c r="K154" t="str">
        <f t="shared" ref="K154" si="149">I154&amp;J154</f>
        <v>EP36</v>
      </c>
    </row>
    <row r="155" spans="7:11">
      <c r="G155" s="3" t="s">
        <v>405</v>
      </c>
      <c r="H155" t="s">
        <v>173</v>
      </c>
      <c r="J155">
        <v>38</v>
      </c>
      <c r="K155" s="3" t="s">
        <v>406</v>
      </c>
    </row>
    <row r="156" spans="7:11">
      <c r="G156" t="s">
        <v>407</v>
      </c>
      <c r="H156" t="s">
        <v>180</v>
      </c>
      <c r="I156" t="s">
        <v>181</v>
      </c>
      <c r="J156">
        <v>1</v>
      </c>
      <c r="K156" t="str">
        <f t="shared" ref="K156" si="150">I156&amp;J156</f>
        <v>IR1</v>
      </c>
    </row>
    <row r="157" spans="7:11">
      <c r="G157" t="s">
        <v>408</v>
      </c>
      <c r="H157" t="s">
        <v>180</v>
      </c>
      <c r="I157" t="s">
        <v>181</v>
      </c>
      <c r="J157">
        <v>2</v>
      </c>
      <c r="K157" t="str">
        <f t="shared" ref="K157" si="151">I157&amp;J157</f>
        <v>IR2</v>
      </c>
    </row>
    <row r="158" spans="7:11">
      <c r="G158" t="s">
        <v>409</v>
      </c>
      <c r="H158" t="s">
        <v>180</v>
      </c>
      <c r="I158" t="s">
        <v>181</v>
      </c>
      <c r="J158">
        <v>3</v>
      </c>
      <c r="K158" t="str">
        <f t="shared" ref="K158" si="152">I158&amp;J158</f>
        <v>IR3</v>
      </c>
    </row>
    <row r="159" spans="7:11">
      <c r="G159" t="s">
        <v>410</v>
      </c>
      <c r="H159" t="s">
        <v>184</v>
      </c>
      <c r="I159" t="s">
        <v>185</v>
      </c>
      <c r="J159">
        <v>1</v>
      </c>
      <c r="K159" t="str">
        <f t="shared" ref="K159" si="153">I159&amp;J159</f>
        <v>MB1</v>
      </c>
    </row>
    <row r="160" spans="7:11">
      <c r="G160" t="s">
        <v>411</v>
      </c>
      <c r="H160" t="s">
        <v>191</v>
      </c>
      <c r="I160" t="s">
        <v>192</v>
      </c>
      <c r="J160">
        <v>1</v>
      </c>
      <c r="K160" t="str">
        <f t="shared" ref="K160" si="154">I160&amp;J160</f>
        <v>NR1</v>
      </c>
    </row>
    <row r="161" spans="7:11">
      <c r="G161" t="s">
        <v>412</v>
      </c>
      <c r="H161" t="s">
        <v>191</v>
      </c>
      <c r="I161" t="s">
        <v>192</v>
      </c>
      <c r="J161">
        <v>2</v>
      </c>
      <c r="K161" t="str">
        <f t="shared" ref="K161" si="155">I161&amp;J161</f>
        <v>NR2</v>
      </c>
    </row>
    <row r="162" spans="7:11">
      <c r="G162" t="s">
        <v>413</v>
      </c>
      <c r="H162" t="s">
        <v>191</v>
      </c>
      <c r="I162" t="s">
        <v>192</v>
      </c>
      <c r="J162">
        <v>3</v>
      </c>
      <c r="K162" t="str">
        <f t="shared" ref="K162" si="156">I162&amp;J162</f>
        <v>NR3</v>
      </c>
    </row>
    <row r="163" spans="7:11">
      <c r="G163" t="s">
        <v>414</v>
      </c>
      <c r="H163" t="s">
        <v>191</v>
      </c>
      <c r="I163" t="s">
        <v>192</v>
      </c>
      <c r="J163">
        <v>4</v>
      </c>
      <c r="K163" t="str">
        <f t="shared" ref="K163" si="157">I163&amp;J163</f>
        <v>NR4</v>
      </c>
    </row>
    <row r="164" spans="7:11">
      <c r="G164" t="s">
        <v>415</v>
      </c>
      <c r="H164" t="s">
        <v>191</v>
      </c>
      <c r="I164" t="s">
        <v>192</v>
      </c>
      <c r="J164">
        <v>5</v>
      </c>
      <c r="K164" t="str">
        <f t="shared" ref="K164" si="158">I164&amp;J164</f>
        <v>NR5</v>
      </c>
    </row>
    <row r="165" spans="7:11">
      <c r="G165" t="s">
        <v>416</v>
      </c>
      <c r="H165" t="s">
        <v>191</v>
      </c>
      <c r="I165" t="s">
        <v>192</v>
      </c>
      <c r="J165">
        <v>6</v>
      </c>
      <c r="K165" t="str">
        <f t="shared" ref="K165" si="159">I165&amp;J165</f>
        <v>NR6</v>
      </c>
    </row>
    <row r="166" spans="7:11">
      <c r="G166" t="s">
        <v>417</v>
      </c>
      <c r="H166" t="s">
        <v>191</v>
      </c>
      <c r="I166" t="s">
        <v>192</v>
      </c>
      <c r="J166">
        <v>7</v>
      </c>
      <c r="K166" t="str">
        <f t="shared" ref="K166" si="160">I166&amp;J166</f>
        <v>NR7</v>
      </c>
    </row>
    <row r="167" spans="7:11">
      <c r="G167" t="s">
        <v>418</v>
      </c>
      <c r="H167" t="s">
        <v>191</v>
      </c>
      <c r="I167" t="s">
        <v>192</v>
      </c>
      <c r="J167">
        <v>8</v>
      </c>
      <c r="K167" t="str">
        <f t="shared" ref="K167" si="161">I167&amp;J167</f>
        <v>NR8</v>
      </c>
    </row>
    <row r="168" spans="7:11">
      <c r="G168" t="s">
        <v>419</v>
      </c>
      <c r="H168" t="s">
        <v>191</v>
      </c>
      <c r="I168" t="s">
        <v>192</v>
      </c>
      <c r="J168">
        <v>9</v>
      </c>
      <c r="K168" t="str">
        <f t="shared" ref="K168" si="162">I168&amp;J168</f>
        <v>NR9</v>
      </c>
    </row>
    <row r="169" spans="7:11">
      <c r="G169" t="s">
        <v>420</v>
      </c>
      <c r="H169" t="s">
        <v>191</v>
      </c>
      <c r="I169" t="s">
        <v>192</v>
      </c>
      <c r="J169">
        <v>10</v>
      </c>
      <c r="K169" t="str">
        <f t="shared" ref="K169" si="163">I169&amp;J169</f>
        <v>NR10</v>
      </c>
    </row>
    <row r="170" spans="7:11">
      <c r="G170" t="s">
        <v>421</v>
      </c>
      <c r="H170" t="s">
        <v>191</v>
      </c>
      <c r="I170" t="s">
        <v>192</v>
      </c>
      <c r="J170">
        <v>11</v>
      </c>
      <c r="K170" t="str">
        <f t="shared" ref="K170" si="164">I170&amp;J170</f>
        <v>NR11</v>
      </c>
    </row>
    <row r="171" spans="7:11">
      <c r="G171" t="s">
        <v>422</v>
      </c>
      <c r="H171" t="s">
        <v>191</v>
      </c>
      <c r="I171" t="s">
        <v>192</v>
      </c>
      <c r="J171">
        <v>12</v>
      </c>
      <c r="K171" t="str">
        <f t="shared" ref="K171" si="165">I171&amp;J171</f>
        <v>NR12</v>
      </c>
    </row>
    <row r="172" spans="7:11">
      <c r="G172" t="s">
        <v>423</v>
      </c>
      <c r="H172" t="s">
        <v>191</v>
      </c>
      <c r="I172" t="s">
        <v>192</v>
      </c>
      <c r="J172">
        <v>13</v>
      </c>
      <c r="K172" t="str">
        <f t="shared" ref="K172" si="166">I172&amp;J172</f>
        <v>NR13</v>
      </c>
    </row>
    <row r="173" spans="7:11">
      <c r="G173" t="s">
        <v>424</v>
      </c>
      <c r="H173" t="s">
        <v>191</v>
      </c>
      <c r="I173" t="s">
        <v>192</v>
      </c>
      <c r="J173">
        <v>14</v>
      </c>
      <c r="K173" t="str">
        <f t="shared" ref="K173" si="167">I173&amp;J173</f>
        <v>NR14</v>
      </c>
    </row>
    <row r="174" spans="7:11">
      <c r="G174" t="s">
        <v>425</v>
      </c>
      <c r="H174" t="s">
        <v>191</v>
      </c>
      <c r="I174" t="s">
        <v>192</v>
      </c>
      <c r="J174">
        <v>15</v>
      </c>
      <c r="K174" t="str">
        <f t="shared" ref="K174" si="168">I174&amp;J174</f>
        <v>NR15</v>
      </c>
    </row>
    <row r="175" spans="7:11">
      <c r="G175" t="s">
        <v>426</v>
      </c>
      <c r="H175" t="s">
        <v>191</v>
      </c>
      <c r="I175" t="s">
        <v>192</v>
      </c>
      <c r="J175">
        <v>16</v>
      </c>
      <c r="K175" t="str">
        <f t="shared" ref="K175" si="169">I175&amp;J175</f>
        <v>NR16</v>
      </c>
    </row>
    <row r="176" spans="7:11">
      <c r="G176" t="s">
        <v>427</v>
      </c>
      <c r="H176" t="s">
        <v>191</v>
      </c>
      <c r="I176" t="s">
        <v>192</v>
      </c>
      <c r="J176">
        <v>17</v>
      </c>
      <c r="K176" t="str">
        <f t="shared" ref="K176" si="170">I176&amp;J176</f>
        <v>NR17</v>
      </c>
    </row>
    <row r="177" spans="7:11">
      <c r="G177" t="s">
        <v>428</v>
      </c>
      <c r="H177" t="s">
        <v>191</v>
      </c>
      <c r="I177" t="s">
        <v>192</v>
      </c>
      <c r="J177">
        <v>18</v>
      </c>
      <c r="K177" t="str">
        <f t="shared" ref="K177" si="171">I177&amp;J177</f>
        <v>NR18</v>
      </c>
    </row>
    <row r="178" spans="7:11">
      <c r="G178" t="s">
        <v>429</v>
      </c>
      <c r="H178" t="s">
        <v>191</v>
      </c>
      <c r="I178" t="s">
        <v>192</v>
      </c>
      <c r="J178">
        <v>19</v>
      </c>
      <c r="K178" t="str">
        <f t="shared" ref="K178" si="172">I178&amp;J178</f>
        <v>NR19</v>
      </c>
    </row>
    <row r="179" spans="7:11">
      <c r="G179" t="s">
        <v>430</v>
      </c>
      <c r="H179" t="s">
        <v>191</v>
      </c>
      <c r="I179" t="s">
        <v>192</v>
      </c>
      <c r="J179">
        <v>20</v>
      </c>
      <c r="K179" t="str">
        <f t="shared" ref="K179" si="173">I179&amp;J179</f>
        <v>NR20</v>
      </c>
    </row>
    <row r="180" spans="7:11">
      <c r="G180" t="s">
        <v>431</v>
      </c>
      <c r="H180" t="s">
        <v>191</v>
      </c>
      <c r="I180" t="s">
        <v>192</v>
      </c>
      <c r="J180">
        <v>21</v>
      </c>
      <c r="K180" t="str">
        <f t="shared" ref="K180" si="174">I180&amp;J180</f>
        <v>NR21</v>
      </c>
    </row>
    <row r="181" spans="7:11">
      <c r="G181" t="s">
        <v>432</v>
      </c>
      <c r="H181" t="s">
        <v>191</v>
      </c>
      <c r="I181" t="s">
        <v>192</v>
      </c>
      <c r="J181">
        <v>22</v>
      </c>
      <c r="K181" t="str">
        <f t="shared" ref="K181" si="175">I181&amp;J181</f>
        <v>NR22</v>
      </c>
    </row>
    <row r="182" spans="7:11">
      <c r="G182" t="s">
        <v>433</v>
      </c>
      <c r="H182" t="s">
        <v>191</v>
      </c>
      <c r="I182" t="s">
        <v>192</v>
      </c>
      <c r="J182">
        <v>23</v>
      </c>
      <c r="K182" t="str">
        <f t="shared" ref="K182" si="176">I182&amp;J182</f>
        <v>NR23</v>
      </c>
    </row>
    <row r="183" spans="7:11">
      <c r="G183" t="s">
        <v>434</v>
      </c>
      <c r="H183" t="s">
        <v>191</v>
      </c>
      <c r="I183" t="s">
        <v>192</v>
      </c>
      <c r="J183">
        <v>24</v>
      </c>
      <c r="K183" t="str">
        <f t="shared" ref="K183" si="177">I183&amp;J183</f>
        <v>NR24</v>
      </c>
    </row>
    <row r="184" spans="7:11">
      <c r="G184" t="s">
        <v>435</v>
      </c>
      <c r="H184" t="s">
        <v>191</v>
      </c>
      <c r="I184" t="s">
        <v>192</v>
      </c>
      <c r="J184">
        <v>25</v>
      </c>
      <c r="K184" t="str">
        <f t="shared" ref="K184" si="178">I184&amp;J184</f>
        <v>NR25</v>
      </c>
    </row>
    <row r="185" spans="7:11">
      <c r="G185" t="s">
        <v>436</v>
      </c>
      <c r="H185" t="s">
        <v>191</v>
      </c>
      <c r="I185" t="s">
        <v>192</v>
      </c>
      <c r="J185">
        <v>26</v>
      </c>
      <c r="K185" t="str">
        <f t="shared" ref="K185" si="179">I185&amp;J185</f>
        <v>NR26</v>
      </c>
    </row>
    <row r="186" spans="7:11">
      <c r="G186" t="s">
        <v>437</v>
      </c>
      <c r="H186" t="s">
        <v>191</v>
      </c>
      <c r="I186" t="s">
        <v>192</v>
      </c>
      <c r="J186">
        <v>27</v>
      </c>
      <c r="K186" t="str">
        <f t="shared" ref="K186" si="180">I186&amp;J186</f>
        <v>NR27</v>
      </c>
    </row>
    <row r="187" spans="7:11">
      <c r="G187" t="s">
        <v>438</v>
      </c>
      <c r="H187" t="s">
        <v>191</v>
      </c>
      <c r="I187" t="s">
        <v>192</v>
      </c>
      <c r="J187">
        <v>28</v>
      </c>
      <c r="K187" t="str">
        <f t="shared" ref="K187" si="181">I187&amp;J187</f>
        <v>NR28</v>
      </c>
    </row>
    <row r="188" spans="7:11">
      <c r="G188" t="s">
        <v>439</v>
      </c>
      <c r="H188" t="s">
        <v>191</v>
      </c>
      <c r="I188" t="s">
        <v>192</v>
      </c>
      <c r="J188">
        <v>29</v>
      </c>
      <c r="K188" t="str">
        <f t="shared" ref="K188" si="182">I188&amp;J188</f>
        <v>NR29</v>
      </c>
    </row>
    <row r="189" spans="7:11">
      <c r="G189" t="s">
        <v>440</v>
      </c>
      <c r="H189" t="s">
        <v>191</v>
      </c>
      <c r="I189" t="s">
        <v>192</v>
      </c>
      <c r="J189">
        <v>30</v>
      </c>
      <c r="K189" t="str">
        <f t="shared" ref="K189" si="183">I189&amp;J189</f>
        <v>NR30</v>
      </c>
    </row>
    <row r="190" spans="7:11">
      <c r="G190" t="s">
        <v>441</v>
      </c>
      <c r="H190" t="s">
        <v>191</v>
      </c>
      <c r="I190" t="s">
        <v>192</v>
      </c>
      <c r="J190">
        <v>31</v>
      </c>
      <c r="K190" t="str">
        <f t="shared" ref="K190" si="184">I190&amp;J190</f>
        <v>NR31</v>
      </c>
    </row>
    <row r="191" spans="7:11">
      <c r="G191" t="s">
        <v>442</v>
      </c>
      <c r="H191" t="s">
        <v>191</v>
      </c>
      <c r="I191" t="s">
        <v>192</v>
      </c>
      <c r="J191">
        <v>32</v>
      </c>
      <c r="K191" t="str">
        <f t="shared" ref="K191" si="185">I191&amp;J191</f>
        <v>NR32</v>
      </c>
    </row>
    <row r="192" spans="7:11">
      <c r="G192" t="s">
        <v>443</v>
      </c>
      <c r="H192" t="s">
        <v>191</v>
      </c>
      <c r="I192" t="s">
        <v>192</v>
      </c>
      <c r="J192">
        <v>33</v>
      </c>
      <c r="K192" t="str">
        <f t="shared" ref="K192" si="186">I192&amp;J192</f>
        <v>NR33</v>
      </c>
    </row>
    <row r="193" spans="7:11">
      <c r="G193" t="s">
        <v>444</v>
      </c>
      <c r="H193" t="s">
        <v>191</v>
      </c>
      <c r="I193" t="s">
        <v>192</v>
      </c>
      <c r="J193">
        <v>34</v>
      </c>
      <c r="K193" t="str">
        <f t="shared" ref="K193" si="187">I193&amp;J193</f>
        <v>NR34</v>
      </c>
    </row>
    <row r="194" spans="7:11">
      <c r="G194" t="s">
        <v>445</v>
      </c>
      <c r="H194" t="s">
        <v>191</v>
      </c>
      <c r="I194" t="s">
        <v>192</v>
      </c>
      <c r="J194">
        <v>35</v>
      </c>
      <c r="K194" t="str">
        <f t="shared" ref="K194" si="188">I194&amp;J194</f>
        <v>NR35</v>
      </c>
    </row>
    <row r="195" spans="7:11">
      <c r="G195" t="s">
        <v>446</v>
      </c>
      <c r="H195" t="s">
        <v>191</v>
      </c>
      <c r="I195" t="s">
        <v>192</v>
      </c>
      <c r="J195">
        <v>36</v>
      </c>
      <c r="K195" t="str">
        <f t="shared" ref="K195" si="189">I195&amp;J195</f>
        <v>NR36</v>
      </c>
    </row>
    <row r="196" spans="7:11">
      <c r="G196" t="s">
        <v>447</v>
      </c>
      <c r="H196" t="s">
        <v>191</v>
      </c>
      <c r="I196" t="s">
        <v>192</v>
      </c>
      <c r="J196">
        <v>37</v>
      </c>
      <c r="K196" t="str">
        <f t="shared" ref="K196" si="190">I196&amp;J196</f>
        <v>NR37</v>
      </c>
    </row>
    <row r="197" spans="7:11">
      <c r="G197" t="s">
        <v>448</v>
      </c>
      <c r="H197" t="s">
        <v>191</v>
      </c>
      <c r="I197" t="s">
        <v>192</v>
      </c>
      <c r="J197">
        <v>38</v>
      </c>
      <c r="K197" t="str">
        <f t="shared" ref="K197" si="191">I197&amp;J197</f>
        <v>NR38</v>
      </c>
    </row>
    <row r="198" spans="7:11">
      <c r="G198" t="s">
        <v>449</v>
      </c>
      <c r="H198" t="s">
        <v>191</v>
      </c>
      <c r="I198" t="s">
        <v>192</v>
      </c>
      <c r="J198">
        <v>39</v>
      </c>
      <c r="K198" t="str">
        <f t="shared" ref="K198" si="192">I198&amp;J198</f>
        <v>NR39</v>
      </c>
    </row>
    <row r="199" spans="7:11">
      <c r="G199" t="s">
        <v>450</v>
      </c>
      <c r="H199" t="s">
        <v>191</v>
      </c>
      <c r="I199" t="s">
        <v>192</v>
      </c>
      <c r="J199">
        <v>40</v>
      </c>
      <c r="K199" t="str">
        <f t="shared" ref="K199" si="193">I199&amp;J199</f>
        <v>NR40</v>
      </c>
    </row>
    <row r="200" spans="7:11">
      <c r="G200" t="s">
        <v>451</v>
      </c>
      <c r="H200" t="s">
        <v>191</v>
      </c>
      <c r="I200" t="s">
        <v>192</v>
      </c>
      <c r="J200">
        <v>41</v>
      </c>
      <c r="K200" t="str">
        <f t="shared" ref="K200" si="194">I200&amp;J200</f>
        <v>NR41</v>
      </c>
    </row>
    <row r="201" spans="7:11">
      <c r="G201" t="s">
        <v>452</v>
      </c>
      <c r="H201" t="s">
        <v>191</v>
      </c>
      <c r="I201" t="s">
        <v>192</v>
      </c>
      <c r="J201">
        <v>42</v>
      </c>
      <c r="K201" t="str">
        <f t="shared" ref="K201" si="195">I201&amp;J201</f>
        <v>NR42</v>
      </c>
    </row>
    <row r="202" spans="7:11">
      <c r="G202" t="s">
        <v>453</v>
      </c>
      <c r="H202" t="s">
        <v>191</v>
      </c>
      <c r="I202" t="s">
        <v>192</v>
      </c>
      <c r="J202">
        <v>43</v>
      </c>
      <c r="K202" t="str">
        <f t="shared" ref="K202" si="196">I202&amp;J202</f>
        <v>NR43</v>
      </c>
    </row>
    <row r="203" spans="7:11">
      <c r="G203" t="s">
        <v>454</v>
      </c>
      <c r="H203" t="s">
        <v>191</v>
      </c>
      <c r="I203" t="s">
        <v>192</v>
      </c>
      <c r="J203">
        <v>44</v>
      </c>
      <c r="K203" t="str">
        <f t="shared" ref="K203" si="197">I203&amp;J203</f>
        <v>NR44</v>
      </c>
    </row>
    <row r="204" spans="7:11">
      <c r="G204" t="s">
        <v>455</v>
      </c>
      <c r="H204" t="s">
        <v>191</v>
      </c>
      <c r="I204" t="s">
        <v>192</v>
      </c>
      <c r="J204">
        <v>45</v>
      </c>
      <c r="K204" t="str">
        <f t="shared" ref="K204" si="198">I204&amp;J204</f>
        <v>NR45</v>
      </c>
    </row>
    <row r="205" spans="7:11">
      <c r="G205" t="s">
        <v>456</v>
      </c>
      <c r="H205" t="s">
        <v>191</v>
      </c>
      <c r="I205" t="s">
        <v>192</v>
      </c>
      <c r="J205">
        <v>46</v>
      </c>
      <c r="K205" t="str">
        <f t="shared" ref="K205" si="199">I205&amp;J205</f>
        <v>NR46</v>
      </c>
    </row>
    <row r="206" spans="7:11">
      <c r="G206" t="s">
        <v>457</v>
      </c>
      <c r="H206" t="s">
        <v>191</v>
      </c>
      <c r="I206" t="s">
        <v>192</v>
      </c>
      <c r="J206">
        <v>47</v>
      </c>
      <c r="K206" t="str">
        <f t="shared" ref="K206" si="200">I206&amp;J206</f>
        <v>NR47</v>
      </c>
    </row>
    <row r="207" spans="7:11">
      <c r="G207" t="s">
        <v>458</v>
      </c>
      <c r="H207" t="s">
        <v>191</v>
      </c>
      <c r="I207" t="s">
        <v>192</v>
      </c>
      <c r="J207">
        <v>48</v>
      </c>
      <c r="K207" t="str">
        <f t="shared" ref="K207" si="201">I207&amp;J207</f>
        <v>NR48</v>
      </c>
    </row>
    <row r="208" spans="7:11">
      <c r="G208" t="s">
        <v>459</v>
      </c>
      <c r="H208" t="s">
        <v>191</v>
      </c>
      <c r="I208" t="s">
        <v>192</v>
      </c>
      <c r="J208">
        <v>49</v>
      </c>
      <c r="K208" t="str">
        <f t="shared" ref="K208" si="202">I208&amp;J208</f>
        <v>NR49</v>
      </c>
    </row>
    <row r="209" spans="7:11">
      <c r="G209" t="s">
        <v>460</v>
      </c>
      <c r="H209" t="s">
        <v>191</v>
      </c>
      <c r="I209" t="s">
        <v>192</v>
      </c>
      <c r="J209">
        <v>50</v>
      </c>
      <c r="K209" t="str">
        <f t="shared" ref="K209" si="203">I209&amp;J209</f>
        <v>NR50</v>
      </c>
    </row>
    <row r="210" spans="7:11">
      <c r="G210" t="s">
        <v>461</v>
      </c>
      <c r="H210" t="s">
        <v>191</v>
      </c>
      <c r="I210" t="s">
        <v>192</v>
      </c>
      <c r="J210">
        <v>51</v>
      </c>
      <c r="K210" t="str">
        <f t="shared" ref="K210" si="204">I210&amp;J210</f>
        <v>NR51</v>
      </c>
    </row>
    <row r="211" spans="7:11">
      <c r="G211" t="s">
        <v>462</v>
      </c>
      <c r="H211" t="s">
        <v>191</v>
      </c>
      <c r="I211" t="s">
        <v>192</v>
      </c>
      <c r="J211">
        <v>52</v>
      </c>
      <c r="K211" t="str">
        <f t="shared" ref="K211" si="205">I211&amp;J211</f>
        <v>NR52</v>
      </c>
    </row>
    <row r="212" spans="7:11">
      <c r="G212" t="s">
        <v>463</v>
      </c>
      <c r="H212" t="s">
        <v>191</v>
      </c>
      <c r="I212" t="s">
        <v>192</v>
      </c>
      <c r="J212">
        <v>53</v>
      </c>
      <c r="K212" t="str">
        <f t="shared" ref="K212" si="206">I212&amp;J212</f>
        <v>NR53</v>
      </c>
    </row>
    <row r="213" spans="7:11">
      <c r="G213" t="s">
        <v>464</v>
      </c>
      <c r="H213" t="s">
        <v>191</v>
      </c>
      <c r="I213" t="s">
        <v>192</v>
      </c>
      <c r="J213">
        <v>54</v>
      </c>
      <c r="K213" t="str">
        <f t="shared" ref="K213" si="207">I213&amp;J213</f>
        <v>NR54</v>
      </c>
    </row>
    <row r="214" spans="7:11">
      <c r="G214" t="s">
        <v>465</v>
      </c>
      <c r="H214" t="s">
        <v>191</v>
      </c>
      <c r="I214" t="s">
        <v>192</v>
      </c>
      <c r="J214">
        <v>55</v>
      </c>
      <c r="K214" t="str">
        <f t="shared" ref="K214" si="208">I214&amp;J214</f>
        <v>NR55</v>
      </c>
    </row>
    <row r="215" spans="7:11">
      <c r="G215" t="s">
        <v>466</v>
      </c>
      <c r="H215" t="s">
        <v>191</v>
      </c>
      <c r="I215" t="s">
        <v>192</v>
      </c>
      <c r="J215">
        <v>56</v>
      </c>
      <c r="K215" t="str">
        <f t="shared" ref="K215" si="209">I215&amp;J215</f>
        <v>NR56</v>
      </c>
    </row>
    <row r="216" spans="7:11">
      <c r="G216" t="s">
        <v>467</v>
      </c>
      <c r="H216" t="s">
        <v>191</v>
      </c>
      <c r="I216" t="s">
        <v>192</v>
      </c>
      <c r="J216">
        <v>57</v>
      </c>
      <c r="K216" t="str">
        <f t="shared" ref="K216" si="210">I216&amp;J216</f>
        <v>NR57</v>
      </c>
    </row>
    <row r="217" spans="7:11">
      <c r="G217" t="s">
        <v>468</v>
      </c>
      <c r="H217" t="s">
        <v>191</v>
      </c>
      <c r="I217" t="s">
        <v>192</v>
      </c>
      <c r="J217">
        <v>58</v>
      </c>
      <c r="K217" t="str">
        <f t="shared" ref="K217" si="211">I217&amp;J217</f>
        <v>NR58</v>
      </c>
    </row>
    <row r="218" spans="7:11">
      <c r="G218" t="s">
        <v>469</v>
      </c>
      <c r="H218" t="s">
        <v>191</v>
      </c>
      <c r="I218" t="s">
        <v>192</v>
      </c>
      <c r="J218">
        <v>59</v>
      </c>
      <c r="K218" t="str">
        <f t="shared" ref="K218" si="212">I218&amp;J218</f>
        <v>NR59</v>
      </c>
    </row>
    <row r="219" spans="7:11">
      <c r="G219" t="s">
        <v>470</v>
      </c>
      <c r="H219" t="s">
        <v>191</v>
      </c>
      <c r="I219" t="s">
        <v>192</v>
      </c>
      <c r="J219">
        <v>60</v>
      </c>
      <c r="K219" t="str">
        <f t="shared" ref="K219" si="213">I219&amp;J219</f>
        <v>NR60</v>
      </c>
    </row>
    <row r="220" spans="7:11">
      <c r="G220" t="s">
        <v>471</v>
      </c>
      <c r="H220" t="s">
        <v>191</v>
      </c>
      <c r="I220" t="s">
        <v>192</v>
      </c>
      <c r="J220">
        <v>61</v>
      </c>
      <c r="K220" t="str">
        <f t="shared" ref="K220" si="214">I220&amp;J220</f>
        <v>NR61</v>
      </c>
    </row>
    <row r="221" spans="7:11">
      <c r="G221" t="s">
        <v>472</v>
      </c>
      <c r="H221" t="s">
        <v>191</v>
      </c>
      <c r="I221" t="s">
        <v>192</v>
      </c>
      <c r="J221">
        <v>62</v>
      </c>
      <c r="K221" t="str">
        <f t="shared" ref="K221" si="215">I221&amp;J221</f>
        <v>NR62</v>
      </c>
    </row>
    <row r="222" spans="7:11">
      <c r="G222" t="s">
        <v>473</v>
      </c>
      <c r="H222" t="s">
        <v>191</v>
      </c>
      <c r="I222" t="s">
        <v>192</v>
      </c>
      <c r="J222">
        <v>63</v>
      </c>
      <c r="K222" t="str">
        <f t="shared" ref="K222" si="216">I222&amp;J222</f>
        <v>NR63</v>
      </c>
    </row>
    <row r="223" spans="7:11">
      <c r="G223" t="s">
        <v>474</v>
      </c>
      <c r="H223" t="s">
        <v>191</v>
      </c>
      <c r="I223" t="s">
        <v>192</v>
      </c>
      <c r="J223">
        <v>64</v>
      </c>
      <c r="K223" t="str">
        <f t="shared" ref="K223" si="217">I223&amp;J223</f>
        <v>NR64</v>
      </c>
    </row>
    <row r="224" spans="7:11">
      <c r="G224" t="s">
        <v>475</v>
      </c>
      <c r="H224" t="s">
        <v>191</v>
      </c>
      <c r="I224" t="s">
        <v>192</v>
      </c>
      <c r="J224">
        <v>65</v>
      </c>
      <c r="K224" t="str">
        <f t="shared" ref="K224" si="218">I224&amp;J224</f>
        <v>NR65</v>
      </c>
    </row>
    <row r="225" spans="7:11">
      <c r="G225" t="s">
        <v>476</v>
      </c>
      <c r="H225" t="s">
        <v>191</v>
      </c>
      <c r="I225" t="s">
        <v>192</v>
      </c>
      <c r="J225">
        <v>66</v>
      </c>
      <c r="K225" t="str">
        <f t="shared" ref="K225" si="219">I225&amp;J225</f>
        <v>NR66</v>
      </c>
    </row>
    <row r="226" spans="7:11">
      <c r="G226" t="s">
        <v>477</v>
      </c>
      <c r="H226" t="s">
        <v>191</v>
      </c>
      <c r="I226" t="s">
        <v>192</v>
      </c>
      <c r="J226">
        <v>67</v>
      </c>
      <c r="K226" t="str">
        <f t="shared" ref="K226" si="220">I226&amp;J226</f>
        <v>NR67</v>
      </c>
    </row>
    <row r="227" spans="7:11">
      <c r="G227" t="s">
        <v>478</v>
      </c>
      <c r="H227" t="s">
        <v>191</v>
      </c>
      <c r="I227" t="s">
        <v>192</v>
      </c>
      <c r="J227">
        <v>68</v>
      </c>
      <c r="K227" t="str">
        <f t="shared" ref="K227" si="221">I227&amp;J227</f>
        <v>NR68</v>
      </c>
    </row>
    <row r="228" spans="7:11">
      <c r="G228" t="s">
        <v>479</v>
      </c>
      <c r="H228" t="s">
        <v>191</v>
      </c>
      <c r="I228" t="s">
        <v>192</v>
      </c>
      <c r="J228">
        <v>69</v>
      </c>
      <c r="K228" t="str">
        <f t="shared" ref="K228" si="222">I228&amp;J228</f>
        <v>NR69</v>
      </c>
    </row>
    <row r="229" spans="7:11">
      <c r="G229" t="s">
        <v>480</v>
      </c>
      <c r="H229" t="s">
        <v>191</v>
      </c>
      <c r="I229" t="s">
        <v>192</v>
      </c>
      <c r="J229">
        <v>70</v>
      </c>
      <c r="K229" t="str">
        <f t="shared" ref="K229" si="223">I229&amp;J229</f>
        <v>NR70</v>
      </c>
    </row>
    <row r="230" spans="7:11">
      <c r="G230" t="s">
        <v>481</v>
      </c>
      <c r="H230" t="s">
        <v>191</v>
      </c>
      <c r="I230" t="s">
        <v>192</v>
      </c>
      <c r="J230">
        <v>71</v>
      </c>
      <c r="K230" t="str">
        <f t="shared" ref="K230" si="224">I230&amp;J230</f>
        <v>NR71</v>
      </c>
    </row>
    <row r="231" spans="7:11">
      <c r="G231" t="s">
        <v>482</v>
      </c>
      <c r="H231" t="s">
        <v>191</v>
      </c>
      <c r="I231" t="s">
        <v>192</v>
      </c>
      <c r="J231">
        <v>72</v>
      </c>
      <c r="K231" t="str">
        <f t="shared" ref="K231" si="225">I231&amp;J231</f>
        <v>NR72</v>
      </c>
    </row>
    <row r="232" spans="7:11">
      <c r="G232" t="s">
        <v>483</v>
      </c>
      <c r="H232" t="s">
        <v>191</v>
      </c>
      <c r="I232" t="s">
        <v>192</v>
      </c>
      <c r="J232">
        <v>73</v>
      </c>
      <c r="K232" t="str">
        <f t="shared" ref="K232" si="226">I232&amp;J232</f>
        <v>NR73</v>
      </c>
    </row>
    <row r="233" spans="7:11">
      <c r="G233" t="s">
        <v>484</v>
      </c>
      <c r="H233" t="s">
        <v>191</v>
      </c>
      <c r="I233" t="s">
        <v>192</v>
      </c>
      <c r="J233">
        <v>74</v>
      </c>
      <c r="K233" t="str">
        <f t="shared" ref="K233" si="227">I233&amp;J233</f>
        <v>NR74</v>
      </c>
    </row>
    <row r="234" spans="7:11">
      <c r="G234" t="s">
        <v>485</v>
      </c>
      <c r="H234" t="s">
        <v>191</v>
      </c>
      <c r="I234" t="s">
        <v>192</v>
      </c>
      <c r="J234">
        <v>75</v>
      </c>
      <c r="K234" t="str">
        <f t="shared" ref="K234" si="228">I234&amp;J234</f>
        <v>NR75</v>
      </c>
    </row>
    <row r="235" spans="7:11">
      <c r="G235" t="s">
        <v>486</v>
      </c>
      <c r="H235" t="s">
        <v>191</v>
      </c>
      <c r="I235" t="s">
        <v>192</v>
      </c>
      <c r="J235">
        <v>76</v>
      </c>
      <c r="K235" t="str">
        <f t="shared" ref="K235" si="229">I235&amp;J235</f>
        <v>NR76</v>
      </c>
    </row>
    <row r="236" spans="7:11">
      <c r="G236" t="s">
        <v>487</v>
      </c>
      <c r="H236" t="s">
        <v>191</v>
      </c>
      <c r="I236" t="s">
        <v>192</v>
      </c>
      <c r="J236">
        <v>77</v>
      </c>
      <c r="K236" t="str">
        <f t="shared" ref="K236" si="230">I236&amp;J236</f>
        <v>NR77</v>
      </c>
    </row>
    <row r="237" spans="7:11">
      <c r="G237" t="s">
        <v>488</v>
      </c>
      <c r="H237" t="s">
        <v>191</v>
      </c>
      <c r="I237" t="s">
        <v>192</v>
      </c>
      <c r="J237">
        <v>78</v>
      </c>
      <c r="K237" t="str">
        <f t="shared" ref="K237" si="231">I237&amp;J237</f>
        <v>NR78</v>
      </c>
    </row>
    <row r="238" spans="7:11">
      <c r="G238" t="s">
        <v>489</v>
      </c>
      <c r="H238" t="s">
        <v>191</v>
      </c>
      <c r="I238" t="s">
        <v>192</v>
      </c>
      <c r="J238">
        <v>79</v>
      </c>
      <c r="K238" t="str">
        <f t="shared" ref="K238" si="232">I238&amp;J238</f>
        <v>NR79</v>
      </c>
    </row>
    <row r="239" spans="7:11">
      <c r="G239" t="s">
        <v>490</v>
      </c>
      <c r="H239" t="s">
        <v>191</v>
      </c>
      <c r="I239" t="s">
        <v>192</v>
      </c>
      <c r="J239">
        <v>80</v>
      </c>
      <c r="K239" t="str">
        <f t="shared" ref="K239" si="233">I239&amp;J239</f>
        <v>NR80</v>
      </c>
    </row>
    <row r="240" spans="7:11">
      <c r="G240" t="s">
        <v>491</v>
      </c>
      <c r="H240" t="s">
        <v>191</v>
      </c>
      <c r="I240" t="s">
        <v>192</v>
      </c>
      <c r="J240">
        <v>81</v>
      </c>
      <c r="K240" t="str">
        <f t="shared" ref="K240" si="234">I240&amp;J240</f>
        <v>NR81</v>
      </c>
    </row>
    <row r="241" spans="7:11">
      <c r="G241" t="s">
        <v>492</v>
      </c>
      <c r="H241" t="s">
        <v>191</v>
      </c>
      <c r="I241" t="s">
        <v>192</v>
      </c>
      <c r="J241">
        <v>82</v>
      </c>
      <c r="K241" t="str">
        <f t="shared" ref="K241" si="235">I241&amp;J241</f>
        <v>NR82</v>
      </c>
    </row>
    <row r="242" spans="7:11">
      <c r="G242" t="s">
        <v>493</v>
      </c>
      <c r="H242" t="s">
        <v>191</v>
      </c>
      <c r="I242" t="s">
        <v>192</v>
      </c>
      <c r="J242">
        <v>83</v>
      </c>
      <c r="K242" t="str">
        <f t="shared" ref="K242" si="236">I242&amp;J242</f>
        <v>NR83</v>
      </c>
    </row>
    <row r="243" spans="7:11">
      <c r="G243" t="s">
        <v>494</v>
      </c>
      <c r="H243" t="s">
        <v>191</v>
      </c>
      <c r="I243" t="s">
        <v>192</v>
      </c>
      <c r="J243">
        <v>84</v>
      </c>
      <c r="K243" t="str">
        <f t="shared" ref="K243" si="237">I243&amp;J243</f>
        <v>NR84</v>
      </c>
    </row>
    <row r="244" spans="7:11">
      <c r="G244" t="s">
        <v>495</v>
      </c>
      <c r="H244" t="s">
        <v>191</v>
      </c>
      <c r="I244" t="s">
        <v>192</v>
      </c>
      <c r="J244">
        <v>85</v>
      </c>
      <c r="K244" t="str">
        <f t="shared" ref="K244:K312" si="238">I244&amp;J244</f>
        <v>NR85</v>
      </c>
    </row>
    <row r="245" spans="7:11">
      <c r="G245" t="s">
        <v>496</v>
      </c>
      <c r="H245" t="s">
        <v>191</v>
      </c>
      <c r="I245" t="s">
        <v>192</v>
      </c>
      <c r="J245">
        <v>86</v>
      </c>
      <c r="K245" t="str">
        <f t="shared" si="238"/>
        <v>NR86</v>
      </c>
    </row>
    <row r="246" spans="7:11">
      <c r="G246" t="s">
        <v>497</v>
      </c>
      <c r="H246" t="s">
        <v>191</v>
      </c>
      <c r="I246" t="s">
        <v>192</v>
      </c>
      <c r="J246">
        <v>87</v>
      </c>
      <c r="K246" t="str">
        <f t="shared" si="238"/>
        <v>NR87</v>
      </c>
    </row>
    <row r="247" spans="7:11">
      <c r="G247" t="s">
        <v>498</v>
      </c>
      <c r="H247" t="s">
        <v>191</v>
      </c>
      <c r="I247" t="s">
        <v>192</v>
      </c>
      <c r="J247">
        <v>88</v>
      </c>
      <c r="K247" t="str">
        <f t="shared" si="238"/>
        <v>NR88</v>
      </c>
    </row>
    <row r="248" spans="7:11">
      <c r="G248" t="s">
        <v>499</v>
      </c>
      <c r="H248" t="s">
        <v>191</v>
      </c>
      <c r="I248" t="s">
        <v>192</v>
      </c>
      <c r="J248">
        <v>89</v>
      </c>
      <c r="K248" t="str">
        <f t="shared" si="238"/>
        <v>NR89</v>
      </c>
    </row>
    <row r="249" spans="7:11">
      <c r="G249" t="s">
        <v>500</v>
      </c>
      <c r="H249" t="s">
        <v>191</v>
      </c>
      <c r="I249" t="s">
        <v>192</v>
      </c>
      <c r="J249">
        <v>90</v>
      </c>
      <c r="K249" t="str">
        <f t="shared" si="238"/>
        <v>NR90</v>
      </c>
    </row>
    <row r="250" spans="7:11">
      <c r="G250" t="s">
        <v>501</v>
      </c>
      <c r="H250" t="s">
        <v>191</v>
      </c>
      <c r="I250" t="s">
        <v>192</v>
      </c>
      <c r="J250">
        <v>91</v>
      </c>
      <c r="K250" t="str">
        <f t="shared" si="238"/>
        <v>NR91</v>
      </c>
    </row>
    <row r="251" spans="7:11">
      <c r="G251" t="s">
        <v>502</v>
      </c>
      <c r="H251" t="s">
        <v>191</v>
      </c>
      <c r="I251" t="s">
        <v>192</v>
      </c>
      <c r="J251">
        <v>92</v>
      </c>
      <c r="K251" t="str">
        <f t="shared" si="238"/>
        <v>NR92</v>
      </c>
    </row>
    <row r="252" spans="7:11">
      <c r="G252" t="s">
        <v>503</v>
      </c>
      <c r="H252" t="s">
        <v>191</v>
      </c>
      <c r="I252" t="s">
        <v>192</v>
      </c>
      <c r="J252">
        <v>93</v>
      </c>
      <c r="K252" t="str">
        <f t="shared" si="238"/>
        <v>NR93</v>
      </c>
    </row>
    <row r="253" spans="7:11">
      <c r="G253" t="s">
        <v>504</v>
      </c>
      <c r="H253" t="s">
        <v>191</v>
      </c>
      <c r="I253" t="s">
        <v>192</v>
      </c>
      <c r="J253">
        <v>94</v>
      </c>
      <c r="K253" t="str">
        <f t="shared" si="238"/>
        <v>NR94</v>
      </c>
    </row>
    <row r="254" spans="7:11">
      <c r="G254" t="s">
        <v>505</v>
      </c>
      <c r="H254" t="s">
        <v>191</v>
      </c>
      <c r="I254" t="s">
        <v>192</v>
      </c>
      <c r="J254">
        <v>95</v>
      </c>
      <c r="K254" t="str">
        <f t="shared" si="238"/>
        <v>NR95</v>
      </c>
    </row>
    <row r="255" spans="7:11">
      <c r="G255" t="s">
        <v>506</v>
      </c>
      <c r="H255" t="s">
        <v>191</v>
      </c>
      <c r="I255" t="s">
        <v>192</v>
      </c>
      <c r="J255">
        <v>96</v>
      </c>
      <c r="K255" t="str">
        <f>I255&amp;J255</f>
        <v>NR96</v>
      </c>
    </row>
    <row r="256" spans="7:11">
      <c r="G256" s="3" t="s">
        <v>139</v>
      </c>
      <c r="H256" t="s">
        <v>191</v>
      </c>
      <c r="I256" t="s">
        <v>192</v>
      </c>
      <c r="J256">
        <v>97</v>
      </c>
      <c r="K256" t="s">
        <v>507</v>
      </c>
    </row>
    <row r="257" spans="7:11">
      <c r="G257" s="3" t="s">
        <v>2288</v>
      </c>
      <c r="H257" t="s">
        <v>191</v>
      </c>
      <c r="I257" s="3" t="s">
        <v>192</v>
      </c>
      <c r="J257">
        <v>98</v>
      </c>
      <c r="K257" t="s">
        <v>2283</v>
      </c>
    </row>
    <row r="258" spans="7:11">
      <c r="G258" t="s">
        <v>508</v>
      </c>
      <c r="H258" t="s">
        <v>200</v>
      </c>
      <c r="I258" t="s">
        <v>201</v>
      </c>
      <c r="J258">
        <v>1</v>
      </c>
      <c r="K258" t="str">
        <f t="shared" si="238"/>
        <v>PB1</v>
      </c>
    </row>
    <row r="259" spans="7:11">
      <c r="G259" t="s">
        <v>509</v>
      </c>
      <c r="H259" t="s">
        <v>200</v>
      </c>
      <c r="I259" t="s">
        <v>201</v>
      </c>
      <c r="J259">
        <v>2</v>
      </c>
      <c r="K259" t="str">
        <f t="shared" si="238"/>
        <v>PB2</v>
      </c>
    </row>
    <row r="260" spans="7:11">
      <c r="G260" t="s">
        <v>510</v>
      </c>
      <c r="H260" t="s">
        <v>200</v>
      </c>
      <c r="I260" t="s">
        <v>201</v>
      </c>
      <c r="J260">
        <v>3</v>
      </c>
      <c r="K260" t="str">
        <f t="shared" si="238"/>
        <v>PB3</v>
      </c>
    </row>
    <row r="261" spans="7:11">
      <c r="G261" t="s">
        <v>511</v>
      </c>
      <c r="H261" t="s">
        <v>200</v>
      </c>
      <c r="I261" t="s">
        <v>201</v>
      </c>
      <c r="J261">
        <v>4</v>
      </c>
      <c r="K261" t="str">
        <f t="shared" si="238"/>
        <v>PB4</v>
      </c>
    </row>
    <row r="262" spans="7:11">
      <c r="G262" t="s">
        <v>512</v>
      </c>
      <c r="H262" t="s">
        <v>197</v>
      </c>
      <c r="I262" t="s">
        <v>198</v>
      </c>
      <c r="J262">
        <v>1</v>
      </c>
      <c r="K262" t="str">
        <f t="shared" si="238"/>
        <v>PH1</v>
      </c>
    </row>
    <row r="263" spans="7:11">
      <c r="G263" t="s">
        <v>513</v>
      </c>
      <c r="H263" t="s">
        <v>206</v>
      </c>
      <c r="I263" t="s">
        <v>207</v>
      </c>
      <c r="J263">
        <v>1</v>
      </c>
      <c r="K263" t="str">
        <f t="shared" si="238"/>
        <v>SI1</v>
      </c>
    </row>
    <row r="264" spans="7:11">
      <c r="G264" t="s">
        <v>514</v>
      </c>
      <c r="H264" t="s">
        <v>206</v>
      </c>
      <c r="I264" t="s">
        <v>207</v>
      </c>
      <c r="J264">
        <v>2</v>
      </c>
      <c r="K264" t="str">
        <f t="shared" si="238"/>
        <v>SI2</v>
      </c>
    </row>
    <row r="265" spans="7:11">
      <c r="G265" t="s">
        <v>515</v>
      </c>
      <c r="H265" t="s">
        <v>206</v>
      </c>
      <c r="I265" t="s">
        <v>207</v>
      </c>
      <c r="J265">
        <v>3</v>
      </c>
      <c r="K265" t="str">
        <f t="shared" si="238"/>
        <v>SI3</v>
      </c>
    </row>
    <row r="266" spans="7:11">
      <c r="G266" t="s">
        <v>516</v>
      </c>
      <c r="H266" t="s">
        <v>206</v>
      </c>
      <c r="I266" t="s">
        <v>207</v>
      </c>
      <c r="J266">
        <v>4</v>
      </c>
      <c r="K266" t="str">
        <f t="shared" si="238"/>
        <v>SI4</v>
      </c>
    </row>
    <row r="267" spans="7:11">
      <c r="G267" t="s">
        <v>517</v>
      </c>
      <c r="H267" t="s">
        <v>206</v>
      </c>
      <c r="I267" t="s">
        <v>207</v>
      </c>
      <c r="J267">
        <v>5</v>
      </c>
      <c r="K267" t="str">
        <f t="shared" si="238"/>
        <v>SI5</v>
      </c>
    </row>
    <row r="268" spans="7:11">
      <c r="G268" t="s">
        <v>518</v>
      </c>
      <c r="H268" t="s">
        <v>206</v>
      </c>
      <c r="I268" t="s">
        <v>207</v>
      </c>
      <c r="J268">
        <v>6</v>
      </c>
      <c r="K268" t="str">
        <f t="shared" si="238"/>
        <v>SI6</v>
      </c>
    </row>
    <row r="269" spans="7:11">
      <c r="G269" t="s">
        <v>519</v>
      </c>
      <c r="H269" t="s">
        <v>206</v>
      </c>
      <c r="I269" t="s">
        <v>207</v>
      </c>
      <c r="J269">
        <v>7</v>
      </c>
      <c r="K269" t="str">
        <f t="shared" si="238"/>
        <v>SI7</v>
      </c>
    </row>
    <row r="270" spans="7:11">
      <c r="G270" t="s">
        <v>520</v>
      </c>
      <c r="H270" t="s">
        <v>206</v>
      </c>
      <c r="I270" t="s">
        <v>207</v>
      </c>
      <c r="J270">
        <v>8</v>
      </c>
      <c r="K270" t="str">
        <f t="shared" si="238"/>
        <v>SI8</v>
      </c>
    </row>
    <row r="271" spans="7:11">
      <c r="G271" t="s">
        <v>521</v>
      </c>
      <c r="H271" t="s">
        <v>206</v>
      </c>
      <c r="I271" t="s">
        <v>207</v>
      </c>
      <c r="J271">
        <v>9</v>
      </c>
      <c r="K271" t="str">
        <f t="shared" si="238"/>
        <v>SI9</v>
      </c>
    </row>
    <row r="272" spans="7:11">
      <c r="G272" t="s">
        <v>522</v>
      </c>
      <c r="H272" t="s">
        <v>206</v>
      </c>
      <c r="I272" t="s">
        <v>207</v>
      </c>
      <c r="J272">
        <v>10</v>
      </c>
      <c r="K272" t="str">
        <f t="shared" si="238"/>
        <v>SI10</v>
      </c>
    </row>
    <row r="273" spans="7:11">
      <c r="G273" t="s">
        <v>523</v>
      </c>
      <c r="H273" t="s">
        <v>206</v>
      </c>
      <c r="I273" t="s">
        <v>207</v>
      </c>
      <c r="J273">
        <v>11</v>
      </c>
      <c r="K273" t="str">
        <f t="shared" si="238"/>
        <v>SI11</v>
      </c>
    </row>
    <row r="274" spans="7:11">
      <c r="G274" t="s">
        <v>524</v>
      </c>
      <c r="H274" t="s">
        <v>206</v>
      </c>
      <c r="I274" t="s">
        <v>207</v>
      </c>
      <c r="J274">
        <v>12</v>
      </c>
      <c r="K274" t="str">
        <f t="shared" si="238"/>
        <v>SI12</v>
      </c>
    </row>
    <row r="275" spans="7:11">
      <c r="G275" t="s">
        <v>525</v>
      </c>
      <c r="H275" t="s">
        <v>206</v>
      </c>
      <c r="I275" t="s">
        <v>207</v>
      </c>
      <c r="J275">
        <v>13</v>
      </c>
      <c r="K275" t="str">
        <f t="shared" si="238"/>
        <v>SI13</v>
      </c>
    </row>
    <row r="276" spans="7:11">
      <c r="G276" t="s">
        <v>526</v>
      </c>
      <c r="H276" t="s">
        <v>206</v>
      </c>
      <c r="I276" t="s">
        <v>207</v>
      </c>
      <c r="J276">
        <v>14</v>
      </c>
      <c r="K276" t="str">
        <f t="shared" si="238"/>
        <v>SI14</v>
      </c>
    </row>
    <row r="277" spans="7:11">
      <c r="G277" t="s">
        <v>527</v>
      </c>
      <c r="H277" t="s">
        <v>206</v>
      </c>
      <c r="I277" t="s">
        <v>207</v>
      </c>
      <c r="J277">
        <v>15</v>
      </c>
      <c r="K277" t="str">
        <f t="shared" si="238"/>
        <v>SI15</v>
      </c>
    </row>
    <row r="278" spans="7:11">
      <c r="G278" t="s">
        <v>528</v>
      </c>
      <c r="H278" t="s">
        <v>206</v>
      </c>
      <c r="I278" t="s">
        <v>207</v>
      </c>
      <c r="J278">
        <v>16</v>
      </c>
      <c r="K278" t="str">
        <f t="shared" si="238"/>
        <v>SI16</v>
      </c>
    </row>
    <row r="279" spans="7:11">
      <c r="G279" t="s">
        <v>529</v>
      </c>
      <c r="H279" t="s">
        <v>206</v>
      </c>
      <c r="I279" t="s">
        <v>207</v>
      </c>
      <c r="J279">
        <v>17</v>
      </c>
      <c r="K279" t="str">
        <f t="shared" si="238"/>
        <v>SI17</v>
      </c>
    </row>
    <row r="280" spans="7:11">
      <c r="G280" t="s">
        <v>530</v>
      </c>
      <c r="H280" t="s">
        <v>206</v>
      </c>
      <c r="I280" t="s">
        <v>207</v>
      </c>
      <c r="J280">
        <v>18</v>
      </c>
      <c r="K280" t="str">
        <f t="shared" si="238"/>
        <v>SI18</v>
      </c>
    </row>
    <row r="281" spans="7:11">
      <c r="G281" t="s">
        <v>531</v>
      </c>
      <c r="H281" t="s">
        <v>206</v>
      </c>
      <c r="I281" t="s">
        <v>207</v>
      </c>
      <c r="J281">
        <v>19</v>
      </c>
      <c r="K281" t="str">
        <f t="shared" si="238"/>
        <v>SI19</v>
      </c>
    </row>
    <row r="282" spans="7:11">
      <c r="G282" t="s">
        <v>532</v>
      </c>
      <c r="H282" t="s">
        <v>206</v>
      </c>
      <c r="I282" t="s">
        <v>207</v>
      </c>
      <c r="J282">
        <v>20</v>
      </c>
      <c r="K282" t="str">
        <f t="shared" si="238"/>
        <v>SI20</v>
      </c>
    </row>
    <row r="283" spans="7:11">
      <c r="G283" t="s">
        <v>533</v>
      </c>
      <c r="H283" t="s">
        <v>206</v>
      </c>
      <c r="I283" t="s">
        <v>207</v>
      </c>
      <c r="J283">
        <v>21</v>
      </c>
      <c r="K283" t="str">
        <f t="shared" si="238"/>
        <v>SI21</v>
      </c>
    </row>
    <row r="284" spans="7:11">
      <c r="G284" t="s">
        <v>534</v>
      </c>
      <c r="H284" t="s">
        <v>206</v>
      </c>
      <c r="I284" t="s">
        <v>207</v>
      </c>
      <c r="J284">
        <v>22</v>
      </c>
      <c r="K284" t="str">
        <f t="shared" si="238"/>
        <v>SI22</v>
      </c>
    </row>
    <row r="285" spans="7:11">
      <c r="G285" t="s">
        <v>535</v>
      </c>
      <c r="H285" t="s">
        <v>206</v>
      </c>
      <c r="I285" t="s">
        <v>207</v>
      </c>
      <c r="J285">
        <v>23</v>
      </c>
      <c r="K285" t="str">
        <f t="shared" si="238"/>
        <v>SI23</v>
      </c>
    </row>
    <row r="286" spans="7:11">
      <c r="G286" t="s">
        <v>536</v>
      </c>
      <c r="H286" t="s">
        <v>206</v>
      </c>
      <c r="I286" t="s">
        <v>207</v>
      </c>
      <c r="J286">
        <v>24</v>
      </c>
      <c r="K286" t="str">
        <f t="shared" si="238"/>
        <v>SI24</v>
      </c>
    </row>
    <row r="287" spans="7:11">
      <c r="G287" t="s">
        <v>537</v>
      </c>
      <c r="H287" t="s">
        <v>206</v>
      </c>
      <c r="I287" t="s">
        <v>207</v>
      </c>
      <c r="J287">
        <v>25</v>
      </c>
      <c r="K287" t="str">
        <f t="shared" si="238"/>
        <v>SI25</v>
      </c>
    </row>
    <row r="288" spans="7:11">
      <c r="G288" t="s">
        <v>538</v>
      </c>
      <c r="H288" t="s">
        <v>206</v>
      </c>
      <c r="I288" t="s">
        <v>207</v>
      </c>
      <c r="J288">
        <v>26</v>
      </c>
      <c r="K288" t="str">
        <f t="shared" si="238"/>
        <v>SI26</v>
      </c>
    </row>
    <row r="289" spans="7:11">
      <c r="G289" t="s">
        <v>539</v>
      </c>
      <c r="H289" t="s">
        <v>206</v>
      </c>
      <c r="I289" t="s">
        <v>207</v>
      </c>
      <c r="J289">
        <v>27</v>
      </c>
      <c r="K289" t="str">
        <f t="shared" si="238"/>
        <v>SI27</v>
      </c>
    </row>
    <row r="290" spans="7:11">
      <c r="G290" t="s">
        <v>540</v>
      </c>
      <c r="H290" t="s">
        <v>206</v>
      </c>
      <c r="I290" t="s">
        <v>207</v>
      </c>
      <c r="J290">
        <v>28</v>
      </c>
      <c r="K290" t="str">
        <f t="shared" si="238"/>
        <v>SI28</v>
      </c>
    </row>
    <row r="291" spans="7:11">
      <c r="G291" t="s">
        <v>541</v>
      </c>
      <c r="H291" t="s">
        <v>206</v>
      </c>
      <c r="I291" t="s">
        <v>207</v>
      </c>
      <c r="J291">
        <v>29</v>
      </c>
      <c r="K291" t="str">
        <f>I291&amp;J291</f>
        <v>SI29</v>
      </c>
    </row>
    <row r="292" spans="7:11">
      <c r="G292" t="s">
        <v>542</v>
      </c>
      <c r="H292" t="s">
        <v>206</v>
      </c>
      <c r="I292" t="s">
        <v>207</v>
      </c>
      <c r="J292">
        <v>30</v>
      </c>
      <c r="K292" t="str">
        <f>I292&amp;J292</f>
        <v>SI30</v>
      </c>
    </row>
    <row r="293" spans="7:11">
      <c r="G293" s="3" t="s">
        <v>543</v>
      </c>
      <c r="H293" t="s">
        <v>206</v>
      </c>
      <c r="I293" t="s">
        <v>207</v>
      </c>
      <c r="J293">
        <v>31</v>
      </c>
      <c r="K293" t="str">
        <f>I293&amp;J293</f>
        <v>SI31</v>
      </c>
    </row>
    <row r="294" spans="7:11">
      <c r="G294" s="3" t="s">
        <v>544</v>
      </c>
      <c r="H294" t="s">
        <v>206</v>
      </c>
      <c r="I294" t="s">
        <v>207</v>
      </c>
      <c r="J294">
        <v>32</v>
      </c>
      <c r="K294" t="str">
        <f>I294&amp;J294</f>
        <v>SI32</v>
      </c>
    </row>
    <row r="295" spans="7:11">
      <c r="G295" s="3" t="s">
        <v>545</v>
      </c>
      <c r="H295" t="s">
        <v>206</v>
      </c>
      <c r="I295" t="s">
        <v>207</v>
      </c>
      <c r="J295">
        <v>33</v>
      </c>
      <c r="K295" t="str">
        <f>I295&amp;J295</f>
        <v>SI33</v>
      </c>
    </row>
    <row r="296" spans="7:11">
      <c r="G296" t="s">
        <v>546</v>
      </c>
      <c r="H296" t="s">
        <v>203</v>
      </c>
      <c r="I296" t="s">
        <v>204</v>
      </c>
      <c r="J296">
        <v>1</v>
      </c>
      <c r="K296" t="str">
        <f t="shared" si="238"/>
        <v>SP1</v>
      </c>
    </row>
    <row r="297" spans="7:11">
      <c r="G297" t="s">
        <v>547</v>
      </c>
      <c r="H297" t="s">
        <v>203</v>
      </c>
      <c r="I297" t="s">
        <v>204</v>
      </c>
      <c r="J297">
        <v>2</v>
      </c>
      <c r="K297" t="str">
        <f t="shared" si="238"/>
        <v>SP2</v>
      </c>
    </row>
    <row r="298" spans="7:11">
      <c r="G298" t="s">
        <v>548</v>
      </c>
      <c r="H298" t="s">
        <v>203</v>
      </c>
      <c r="I298" t="s">
        <v>204</v>
      </c>
      <c r="J298">
        <v>3</v>
      </c>
      <c r="K298" t="str">
        <f t="shared" si="238"/>
        <v>SP3</v>
      </c>
    </row>
    <row r="299" spans="7:11">
      <c r="G299" t="s">
        <v>549</v>
      </c>
      <c r="H299" t="s">
        <v>203</v>
      </c>
      <c r="I299" t="s">
        <v>204</v>
      </c>
      <c r="J299">
        <v>4</v>
      </c>
      <c r="K299" t="str">
        <f t="shared" si="238"/>
        <v>SP4</v>
      </c>
    </row>
    <row r="300" spans="7:11">
      <c r="G300" t="s">
        <v>550</v>
      </c>
      <c r="H300" t="s">
        <v>203</v>
      </c>
      <c r="I300" t="s">
        <v>204</v>
      </c>
      <c r="J300">
        <v>5</v>
      </c>
      <c r="K300" t="str">
        <f t="shared" si="238"/>
        <v>SP5</v>
      </c>
    </row>
    <row r="301" spans="7:11">
      <c r="G301" t="s">
        <v>551</v>
      </c>
      <c r="H301" t="s">
        <v>203</v>
      </c>
      <c r="I301" t="s">
        <v>204</v>
      </c>
      <c r="J301">
        <v>6</v>
      </c>
      <c r="K301" t="str">
        <f t="shared" si="238"/>
        <v>SP6</v>
      </c>
    </row>
    <row r="302" spans="7:11">
      <c r="G302" t="s">
        <v>552</v>
      </c>
      <c r="H302" t="s">
        <v>203</v>
      </c>
      <c r="I302" t="s">
        <v>204</v>
      </c>
      <c r="J302">
        <v>7</v>
      </c>
      <c r="K302" t="str">
        <f t="shared" si="238"/>
        <v>SP7</v>
      </c>
    </row>
    <row r="303" spans="7:11">
      <c r="G303" t="s">
        <v>553</v>
      </c>
      <c r="H303" t="s">
        <v>203</v>
      </c>
      <c r="I303" t="s">
        <v>204</v>
      </c>
      <c r="J303">
        <v>8</v>
      </c>
      <c r="K303" t="str">
        <f t="shared" si="238"/>
        <v>SP8</v>
      </c>
    </row>
    <row r="304" spans="7:11">
      <c r="G304" t="s">
        <v>554</v>
      </c>
      <c r="H304" t="s">
        <v>203</v>
      </c>
      <c r="I304" t="s">
        <v>204</v>
      </c>
      <c r="J304">
        <v>9</v>
      </c>
      <c r="K304" t="str">
        <f t="shared" si="238"/>
        <v>SP9</v>
      </c>
    </row>
    <row r="305" spans="7:11">
      <c r="G305" t="s">
        <v>555</v>
      </c>
      <c r="H305" t="s">
        <v>203</v>
      </c>
      <c r="I305" t="s">
        <v>204</v>
      </c>
      <c r="J305">
        <v>10</v>
      </c>
      <c r="K305" t="str">
        <f t="shared" si="238"/>
        <v>SP10</v>
      </c>
    </row>
    <row r="306" spans="7:11">
      <c r="G306" t="s">
        <v>556</v>
      </c>
      <c r="H306" t="s">
        <v>203</v>
      </c>
      <c r="I306" t="s">
        <v>204</v>
      </c>
      <c r="J306">
        <v>11</v>
      </c>
      <c r="K306" t="str">
        <f t="shared" si="238"/>
        <v>SP11</v>
      </c>
    </row>
    <row r="307" spans="7:11">
      <c r="G307" t="s">
        <v>557</v>
      </c>
      <c r="H307" t="s">
        <v>203</v>
      </c>
      <c r="I307" t="s">
        <v>204</v>
      </c>
      <c r="J307">
        <v>12</v>
      </c>
      <c r="K307" t="str">
        <f t="shared" si="238"/>
        <v>SP12</v>
      </c>
    </row>
    <row r="308" spans="7:11">
      <c r="G308" t="s">
        <v>558</v>
      </c>
      <c r="H308" t="s">
        <v>203</v>
      </c>
      <c r="I308" t="s">
        <v>204</v>
      </c>
      <c r="J308">
        <v>13</v>
      </c>
      <c r="K308" t="str">
        <f t="shared" si="238"/>
        <v>SP13</v>
      </c>
    </row>
    <row r="309" spans="7:11">
      <c r="G309" t="s">
        <v>559</v>
      </c>
      <c r="H309" t="s">
        <v>203</v>
      </c>
      <c r="I309" t="s">
        <v>204</v>
      </c>
      <c r="J309">
        <v>14</v>
      </c>
      <c r="K309" t="str">
        <f t="shared" si="238"/>
        <v>SP14</v>
      </c>
    </row>
    <row r="310" spans="7:11">
      <c r="G310" t="s">
        <v>560</v>
      </c>
      <c r="H310" t="s">
        <v>203</v>
      </c>
      <c r="I310" t="s">
        <v>204</v>
      </c>
      <c r="J310">
        <v>15</v>
      </c>
      <c r="K310" t="str">
        <f t="shared" si="238"/>
        <v>SP15</v>
      </c>
    </row>
    <row r="311" spans="7:11">
      <c r="G311" t="s">
        <v>561</v>
      </c>
      <c r="H311" t="s">
        <v>203</v>
      </c>
      <c r="I311" t="s">
        <v>204</v>
      </c>
      <c r="J311">
        <v>16</v>
      </c>
      <c r="K311" t="str">
        <f t="shared" si="238"/>
        <v>SP16</v>
      </c>
    </row>
    <row r="312" spans="7:11">
      <c r="G312" t="s">
        <v>562</v>
      </c>
      <c r="H312" t="s">
        <v>203</v>
      </c>
      <c r="I312" t="s">
        <v>204</v>
      </c>
      <c r="J312">
        <v>17</v>
      </c>
      <c r="K312" t="str">
        <f t="shared" si="238"/>
        <v>SP17</v>
      </c>
    </row>
    <row r="313" spans="7:11">
      <c r="G313" s="3" t="s">
        <v>563</v>
      </c>
      <c r="H313" t="s">
        <v>173</v>
      </c>
      <c r="I313" s="3" t="s">
        <v>174</v>
      </c>
      <c r="J313">
        <v>37</v>
      </c>
      <c r="K313" s="3" t="s">
        <v>564</v>
      </c>
    </row>
    <row r="314" spans="7:11">
      <c r="G314" s="3" t="s">
        <v>565</v>
      </c>
      <c r="H314" t="s">
        <v>203</v>
      </c>
      <c r="I314" t="s">
        <v>204</v>
      </c>
      <c r="J314">
        <v>18</v>
      </c>
      <c r="K314" s="3" t="s">
        <v>566</v>
      </c>
    </row>
    <row r="315" spans="7:11">
      <c r="G315" s="166" t="s">
        <v>567</v>
      </c>
      <c r="H315" t="s">
        <v>568</v>
      </c>
      <c r="I315" t="s">
        <v>204</v>
      </c>
      <c r="J315">
        <v>38</v>
      </c>
      <c r="K315" t="s">
        <v>406</v>
      </c>
    </row>
    <row r="316" spans="7:11">
      <c r="G316" s="3" t="s">
        <v>569</v>
      </c>
      <c r="H316" s="3" t="s">
        <v>203</v>
      </c>
      <c r="I316" s="3" t="s">
        <v>204</v>
      </c>
      <c r="J316">
        <v>19</v>
      </c>
      <c r="K316" s="3" t="s">
        <v>570</v>
      </c>
    </row>
    <row r="317" spans="7:11">
      <c r="G317" s="3" t="s">
        <v>571</v>
      </c>
      <c r="H317" s="3" t="s">
        <v>206</v>
      </c>
      <c r="I317" s="3" t="s">
        <v>207</v>
      </c>
      <c r="J317">
        <v>34</v>
      </c>
      <c r="K317" s="3" t="s">
        <v>572</v>
      </c>
    </row>
  </sheetData>
  <autoFilter ref="I1:I317" xr:uid="{697FE05B-25CE-43D2-BFE2-6095DADE9643}"/>
  <mergeCells count="1">
    <mergeCell ref="H1:K1"/>
  </mergeCells>
  <phoneticPr fontId="45" type="noConversion"/>
  <hyperlinks>
    <hyperlink ref="D2" r:id="rId1" xr:uid="{51C09793-D2FB-4884-9D90-84647E598819}"/>
    <hyperlink ref="D5" r:id="rId2" xr:uid="{524BFFC2-E2FD-4728-B7AB-A68D8C8B9ADB}"/>
    <hyperlink ref="D7" r:id="rId3" xr:uid="{B2A0BCE2-8857-4E66-A7AF-CED7DFEDE43A}"/>
    <hyperlink ref="D3" r:id="rId4" xr:uid="{62031DB5-79B0-4E45-8850-A7CB341ABEDE}"/>
    <hyperlink ref="D4" r:id="rId5" xr:uid="{A1F49665-A9A3-45BE-9EAD-E2E6181F84BE}"/>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BBE62-06D2-4D52-B25B-AF781B0402F5}">
  <sheetPr codeName="Sheet4"/>
  <dimension ref="A1:I576"/>
  <sheetViews>
    <sheetView topLeftCell="A547" workbookViewId="0">
      <selection activeCell="F576" sqref="F576"/>
    </sheetView>
  </sheetViews>
  <sheetFormatPr defaultRowHeight="13.8"/>
  <cols>
    <col min="1" max="1" width="24.33203125" customWidth="1"/>
    <col min="2" max="2" width="11.109375" bestFit="1" customWidth="1"/>
    <col min="3" max="3" width="16.6640625" customWidth="1"/>
    <col min="4" max="4" width="32" customWidth="1"/>
    <col min="5" max="5" width="100.44140625" bestFit="1" customWidth="1"/>
    <col min="6" max="6" width="39" bestFit="1" customWidth="1"/>
    <col min="7" max="7" width="30.109375" bestFit="1" customWidth="1"/>
  </cols>
  <sheetData>
    <row r="1" spans="1:9" ht="15.6">
      <c r="A1" s="4" t="s">
        <v>61</v>
      </c>
      <c r="B1" s="4" t="s">
        <v>573</v>
      </c>
      <c r="C1" s="4" t="s">
        <v>574</v>
      </c>
      <c r="D1" s="5" t="s">
        <v>66</v>
      </c>
      <c r="E1" s="4" t="s">
        <v>575</v>
      </c>
      <c r="F1" s="5" t="s">
        <v>155</v>
      </c>
      <c r="G1" s="4" t="s">
        <v>156</v>
      </c>
      <c r="H1" s="4"/>
      <c r="I1" s="4"/>
    </row>
    <row r="2" spans="1:9" ht="15.6">
      <c r="A2" s="6" t="s">
        <v>576</v>
      </c>
      <c r="B2" s="6" t="s">
        <v>577</v>
      </c>
      <c r="C2" s="7" t="s">
        <v>578</v>
      </c>
      <c r="D2" s="7" t="s">
        <v>579</v>
      </c>
      <c r="E2" s="8" t="s">
        <v>580</v>
      </c>
      <c r="F2" s="7" t="s">
        <v>411</v>
      </c>
      <c r="G2" t="s">
        <v>191</v>
      </c>
    </row>
    <row r="3" spans="1:9" ht="15.6">
      <c r="A3" s="6" t="s">
        <v>581</v>
      </c>
      <c r="B3" s="6" t="s">
        <v>577</v>
      </c>
      <c r="C3" s="7" t="s">
        <v>582</v>
      </c>
      <c r="D3" s="7" t="s">
        <v>583</v>
      </c>
      <c r="E3" s="8" t="s">
        <v>580</v>
      </c>
      <c r="F3" s="7" t="s">
        <v>411</v>
      </c>
      <c r="G3" t="s">
        <v>191</v>
      </c>
    </row>
    <row r="4" spans="1:9" ht="15.6">
      <c r="A4" s="6" t="s">
        <v>584</v>
      </c>
      <c r="B4" s="6" t="s">
        <v>577</v>
      </c>
      <c r="C4" s="7" t="s">
        <v>585</v>
      </c>
      <c r="D4" s="7" t="s">
        <v>586</v>
      </c>
      <c r="E4" s="8" t="s">
        <v>587</v>
      </c>
      <c r="F4" s="7" t="s">
        <v>513</v>
      </c>
      <c r="G4" t="s">
        <v>206</v>
      </c>
    </row>
    <row r="5" spans="1:9" ht="15.6">
      <c r="A5" s="6" t="s">
        <v>588</v>
      </c>
      <c r="B5" s="6" t="s">
        <v>577</v>
      </c>
      <c r="C5" s="7" t="s">
        <v>589</v>
      </c>
      <c r="D5" s="7" t="s">
        <v>590</v>
      </c>
      <c r="E5" s="6" t="s">
        <v>591</v>
      </c>
      <c r="F5" s="7" t="s">
        <v>546</v>
      </c>
      <c r="G5" t="s">
        <v>203</v>
      </c>
    </row>
    <row r="6" spans="1:9" ht="15.6">
      <c r="A6" s="6" t="s">
        <v>592</v>
      </c>
      <c r="B6" s="6" t="s">
        <v>577</v>
      </c>
      <c r="C6" s="7" t="s">
        <v>593</v>
      </c>
      <c r="D6" s="7" t="s">
        <v>594</v>
      </c>
      <c r="E6" s="8" t="s">
        <v>595</v>
      </c>
      <c r="F6" s="7" t="s">
        <v>196</v>
      </c>
      <c r="G6" t="s">
        <v>166</v>
      </c>
    </row>
    <row r="7" spans="1:9" ht="15.6">
      <c r="A7" s="6" t="s">
        <v>596</v>
      </c>
      <c r="B7" s="6" t="s">
        <v>577</v>
      </c>
      <c r="C7" s="7" t="s">
        <v>597</v>
      </c>
      <c r="D7" s="7" t="s">
        <v>598</v>
      </c>
      <c r="E7" s="8" t="s">
        <v>595</v>
      </c>
      <c r="F7" s="7" t="s">
        <v>196</v>
      </c>
      <c r="G7" t="s">
        <v>166</v>
      </c>
    </row>
    <row r="8" spans="1:9" ht="15.6">
      <c r="A8" s="6" t="s">
        <v>599</v>
      </c>
      <c r="B8" s="6" t="s">
        <v>577</v>
      </c>
      <c r="C8" s="7" t="s">
        <v>600</v>
      </c>
      <c r="D8" s="7" t="s">
        <v>601</v>
      </c>
      <c r="E8" s="8" t="s">
        <v>602</v>
      </c>
      <c r="F8" s="7" t="s">
        <v>199</v>
      </c>
      <c r="G8" t="s">
        <v>166</v>
      </c>
    </row>
    <row r="9" spans="1:9" ht="15.6">
      <c r="A9" s="6" t="s">
        <v>603</v>
      </c>
      <c r="B9" s="6" t="s">
        <v>577</v>
      </c>
      <c r="C9" s="7" t="s">
        <v>604</v>
      </c>
      <c r="D9" s="7" t="s">
        <v>605</v>
      </c>
      <c r="E9" s="8" t="s">
        <v>602</v>
      </c>
      <c r="F9" s="7" t="s">
        <v>199</v>
      </c>
      <c r="G9" t="s">
        <v>166</v>
      </c>
    </row>
    <row r="10" spans="1:9" ht="15.6">
      <c r="A10" s="6" t="s">
        <v>606</v>
      </c>
      <c r="B10" s="6" t="s">
        <v>577</v>
      </c>
      <c r="C10" s="7" t="s">
        <v>607</v>
      </c>
      <c r="D10" s="7" t="s">
        <v>608</v>
      </c>
      <c r="E10" s="8" t="s">
        <v>609</v>
      </c>
      <c r="F10" s="7" t="s">
        <v>205</v>
      </c>
      <c r="G10" t="s">
        <v>166</v>
      </c>
    </row>
    <row r="11" spans="1:9" ht="15.6">
      <c r="A11" s="6" t="s">
        <v>610</v>
      </c>
      <c r="B11" s="6" t="s">
        <v>577</v>
      </c>
      <c r="C11" s="7" t="s">
        <v>611</v>
      </c>
      <c r="D11" s="7" t="s">
        <v>612</v>
      </c>
      <c r="E11" s="8" t="s">
        <v>613</v>
      </c>
      <c r="F11" s="7" t="s">
        <v>208</v>
      </c>
      <c r="G11" t="s">
        <v>166</v>
      </c>
    </row>
    <row r="12" spans="1:9" ht="15.6">
      <c r="A12" s="6" t="s">
        <v>614</v>
      </c>
      <c r="B12" s="6" t="s">
        <v>577</v>
      </c>
      <c r="C12" s="7" t="s">
        <v>615</v>
      </c>
      <c r="D12" s="7" t="s">
        <v>616</v>
      </c>
      <c r="E12" s="8" t="s">
        <v>617</v>
      </c>
      <c r="F12" s="7" t="s">
        <v>413</v>
      </c>
      <c r="G12" t="s">
        <v>191</v>
      </c>
    </row>
    <row r="13" spans="1:9" ht="15.6">
      <c r="A13" s="6" t="s">
        <v>618</v>
      </c>
      <c r="B13" s="6" t="s">
        <v>577</v>
      </c>
      <c r="C13" s="7" t="s">
        <v>619</v>
      </c>
      <c r="D13" s="7" t="s">
        <v>620</v>
      </c>
      <c r="E13" s="8" t="s">
        <v>621</v>
      </c>
      <c r="F13" s="7" t="s">
        <v>212</v>
      </c>
      <c r="G13" t="s">
        <v>166</v>
      </c>
    </row>
    <row r="14" spans="1:9" ht="15.6">
      <c r="A14" s="6" t="s">
        <v>622</v>
      </c>
      <c r="B14" s="6" t="s">
        <v>577</v>
      </c>
      <c r="C14" s="7" t="s">
        <v>623</v>
      </c>
      <c r="D14" s="7" t="s">
        <v>624</v>
      </c>
      <c r="E14" s="8" t="s">
        <v>625</v>
      </c>
      <c r="F14" s="7" t="s">
        <v>221</v>
      </c>
      <c r="G14" t="s">
        <v>166</v>
      </c>
      <c r="H14" s="11" t="s">
        <v>626</v>
      </c>
    </row>
    <row r="15" spans="1:9" ht="15.6">
      <c r="A15" s="6" t="s">
        <v>627</v>
      </c>
      <c r="B15" s="6" t="s">
        <v>577</v>
      </c>
      <c r="C15" s="7" t="s">
        <v>628</v>
      </c>
      <c r="D15" s="7" t="s">
        <v>629</v>
      </c>
      <c r="E15" s="8" t="s">
        <v>625</v>
      </c>
      <c r="F15" s="7" t="s">
        <v>221</v>
      </c>
      <c r="G15" t="s">
        <v>166</v>
      </c>
      <c r="H15" s="11" t="s">
        <v>626</v>
      </c>
    </row>
    <row r="16" spans="1:9" ht="15.6">
      <c r="A16" s="6" t="s">
        <v>630</v>
      </c>
      <c r="B16" s="6" t="s">
        <v>577</v>
      </c>
      <c r="C16" s="7" t="s">
        <v>631</v>
      </c>
      <c r="D16" s="7" t="s">
        <v>632</v>
      </c>
      <c r="E16" s="8" t="s">
        <v>625</v>
      </c>
      <c r="F16" s="7" t="s">
        <v>221</v>
      </c>
      <c r="G16" t="s">
        <v>166</v>
      </c>
      <c r="H16" s="11" t="s">
        <v>626</v>
      </c>
    </row>
    <row r="17" spans="1:8" ht="15.6">
      <c r="A17" s="6" t="s">
        <v>633</v>
      </c>
      <c r="B17" s="6" t="s">
        <v>577</v>
      </c>
      <c r="C17" s="7" t="s">
        <v>634</v>
      </c>
      <c r="D17" s="7" t="s">
        <v>635</v>
      </c>
      <c r="E17" s="8" t="s">
        <v>625</v>
      </c>
      <c r="F17" s="7" t="s">
        <v>221</v>
      </c>
      <c r="G17" t="s">
        <v>166</v>
      </c>
      <c r="H17" s="11" t="s">
        <v>626</v>
      </c>
    </row>
    <row r="18" spans="1:8" ht="15.6">
      <c r="A18" s="6" t="s">
        <v>636</v>
      </c>
      <c r="B18" s="6" t="s">
        <v>577</v>
      </c>
      <c r="C18" s="7" t="s">
        <v>637</v>
      </c>
      <c r="D18" s="7" t="s">
        <v>638</v>
      </c>
      <c r="E18" s="8" t="s">
        <v>625</v>
      </c>
      <c r="F18" s="7" t="s">
        <v>221</v>
      </c>
      <c r="G18" t="s">
        <v>166</v>
      </c>
      <c r="H18" s="11" t="s">
        <v>626</v>
      </c>
    </row>
    <row r="19" spans="1:8" ht="15.6">
      <c r="A19" s="6" t="s">
        <v>639</v>
      </c>
      <c r="B19" s="6" t="s">
        <v>577</v>
      </c>
      <c r="C19" s="7" t="s">
        <v>640</v>
      </c>
      <c r="D19" s="7" t="s">
        <v>641</v>
      </c>
      <c r="E19" s="8" t="s">
        <v>625</v>
      </c>
      <c r="F19" s="7" t="s">
        <v>221</v>
      </c>
      <c r="G19" t="s">
        <v>166</v>
      </c>
      <c r="H19" s="11" t="s">
        <v>626</v>
      </c>
    </row>
    <row r="20" spans="1:8" ht="15.6">
      <c r="A20" s="6" t="s">
        <v>642</v>
      </c>
      <c r="B20" s="6" t="s">
        <v>577</v>
      </c>
      <c r="C20" s="7" t="s">
        <v>643</v>
      </c>
      <c r="D20" s="7" t="s">
        <v>644</v>
      </c>
      <c r="E20" s="8" t="s">
        <v>625</v>
      </c>
      <c r="F20" s="7" t="s">
        <v>221</v>
      </c>
      <c r="G20" t="s">
        <v>166</v>
      </c>
      <c r="H20" s="11" t="s">
        <v>626</v>
      </c>
    </row>
    <row r="21" spans="1:8" ht="15.6">
      <c r="A21" s="6" t="s">
        <v>645</v>
      </c>
      <c r="B21" s="6" t="s">
        <v>577</v>
      </c>
      <c r="C21" s="7" t="s">
        <v>628</v>
      </c>
      <c r="D21" s="7" t="s">
        <v>646</v>
      </c>
      <c r="E21" s="8" t="s">
        <v>625</v>
      </c>
      <c r="F21" s="7" t="s">
        <v>221</v>
      </c>
      <c r="G21" t="s">
        <v>166</v>
      </c>
      <c r="H21" s="11" t="s">
        <v>626</v>
      </c>
    </row>
    <row r="22" spans="1:8" ht="15.6">
      <c r="A22" s="6" t="s">
        <v>647</v>
      </c>
      <c r="B22" s="6" t="s">
        <v>577</v>
      </c>
      <c r="C22" s="7" t="s">
        <v>648</v>
      </c>
      <c r="D22" s="7" t="s">
        <v>649</v>
      </c>
      <c r="E22" s="8" t="s">
        <v>625</v>
      </c>
      <c r="F22" s="7" t="s">
        <v>221</v>
      </c>
      <c r="G22" t="s">
        <v>166</v>
      </c>
      <c r="H22" s="11" t="s">
        <v>626</v>
      </c>
    </row>
    <row r="23" spans="1:8" ht="15.6">
      <c r="A23" s="6" t="s">
        <v>650</v>
      </c>
      <c r="B23" s="6" t="s">
        <v>651</v>
      </c>
      <c r="C23" s="7" t="s">
        <v>652</v>
      </c>
      <c r="D23" s="7" t="s">
        <v>653</v>
      </c>
      <c r="E23" s="8" t="s">
        <v>625</v>
      </c>
      <c r="F23" s="7" t="s">
        <v>221</v>
      </c>
      <c r="G23" t="s">
        <v>166</v>
      </c>
      <c r="H23" s="11" t="s">
        <v>626</v>
      </c>
    </row>
    <row r="24" spans="1:8" ht="15.6">
      <c r="A24" s="6" t="s">
        <v>654</v>
      </c>
      <c r="B24" s="6" t="s">
        <v>577</v>
      </c>
      <c r="C24" s="7" t="s">
        <v>628</v>
      </c>
      <c r="D24" s="7" t="s">
        <v>655</v>
      </c>
      <c r="E24" s="6" t="s">
        <v>656</v>
      </c>
      <c r="F24" s="7" t="s">
        <v>414</v>
      </c>
      <c r="G24" t="s">
        <v>191</v>
      </c>
    </row>
    <row r="25" spans="1:8" ht="15.6">
      <c r="A25" s="6" t="s">
        <v>657</v>
      </c>
      <c r="B25" s="6" t="s">
        <v>577</v>
      </c>
      <c r="C25" s="7" t="s">
        <v>658</v>
      </c>
      <c r="D25" s="7" t="s">
        <v>659</v>
      </c>
      <c r="E25" s="6" t="s">
        <v>660</v>
      </c>
      <c r="F25" s="7" t="s">
        <v>415</v>
      </c>
      <c r="G25" t="s">
        <v>191</v>
      </c>
    </row>
    <row r="26" spans="1:8" ht="15.6">
      <c r="A26" s="6" t="s">
        <v>661</v>
      </c>
      <c r="B26" s="6" t="s">
        <v>577</v>
      </c>
      <c r="C26" s="7" t="s">
        <v>628</v>
      </c>
      <c r="D26" s="7" t="s">
        <v>662</v>
      </c>
      <c r="E26" s="6" t="s">
        <v>663</v>
      </c>
      <c r="F26" s="7" t="s">
        <v>417</v>
      </c>
      <c r="G26" t="s">
        <v>191</v>
      </c>
    </row>
    <row r="27" spans="1:8" ht="15.6">
      <c r="A27" s="6" t="s">
        <v>664</v>
      </c>
      <c r="B27" s="6" t="s">
        <v>577</v>
      </c>
      <c r="C27" s="7" t="s">
        <v>665</v>
      </c>
      <c r="D27" s="7" t="s">
        <v>666</v>
      </c>
      <c r="E27" s="6" t="s">
        <v>667</v>
      </c>
      <c r="F27" s="7" t="s">
        <v>547</v>
      </c>
      <c r="G27" t="s">
        <v>203</v>
      </c>
    </row>
    <row r="28" spans="1:8" ht="15.6">
      <c r="A28" s="6" t="s">
        <v>668</v>
      </c>
      <c r="B28" s="6" t="s">
        <v>577</v>
      </c>
      <c r="C28" s="7" t="s">
        <v>669</v>
      </c>
      <c r="D28" s="7" t="s">
        <v>670</v>
      </c>
      <c r="E28" s="6" t="s">
        <v>671</v>
      </c>
      <c r="F28" s="7" t="s">
        <v>548</v>
      </c>
      <c r="G28" t="s">
        <v>203</v>
      </c>
    </row>
    <row r="29" spans="1:8" ht="15.6">
      <c r="A29" s="6" t="s">
        <v>672</v>
      </c>
      <c r="B29" s="6" t="s">
        <v>577</v>
      </c>
      <c r="C29" s="7" t="s">
        <v>673</v>
      </c>
      <c r="D29" s="7" t="s">
        <v>674</v>
      </c>
      <c r="E29" s="6" t="s">
        <v>675</v>
      </c>
      <c r="F29" s="7" t="s">
        <v>225</v>
      </c>
      <c r="G29" t="s">
        <v>166</v>
      </c>
    </row>
    <row r="30" spans="1:8" ht="15.6">
      <c r="A30" s="6" t="s">
        <v>676</v>
      </c>
      <c r="B30" s="6" t="s">
        <v>577</v>
      </c>
      <c r="C30" s="7" t="s">
        <v>677</v>
      </c>
      <c r="D30" s="7" t="s">
        <v>678</v>
      </c>
      <c r="E30" s="6" t="s">
        <v>679</v>
      </c>
      <c r="F30" s="7" t="s">
        <v>229</v>
      </c>
      <c r="G30" t="s">
        <v>166</v>
      </c>
    </row>
    <row r="31" spans="1:8" ht="15.6">
      <c r="A31" s="6" t="s">
        <v>680</v>
      </c>
      <c r="B31" s="6" t="s">
        <v>577</v>
      </c>
      <c r="C31" s="7" t="s">
        <v>681</v>
      </c>
      <c r="D31" s="7" t="s">
        <v>682</v>
      </c>
      <c r="E31" s="6" t="s">
        <v>683</v>
      </c>
      <c r="F31" s="7" t="s">
        <v>514</v>
      </c>
      <c r="G31" t="s">
        <v>206</v>
      </c>
    </row>
    <row r="32" spans="1:8" ht="15.6">
      <c r="A32" s="6" t="s">
        <v>576</v>
      </c>
      <c r="B32" s="6" t="s">
        <v>577</v>
      </c>
      <c r="C32" s="7" t="s">
        <v>684</v>
      </c>
      <c r="D32" s="7" t="s">
        <v>685</v>
      </c>
      <c r="E32" s="6" t="s">
        <v>686</v>
      </c>
      <c r="F32" s="7" t="s">
        <v>418</v>
      </c>
      <c r="G32" t="s">
        <v>191</v>
      </c>
    </row>
    <row r="33" spans="1:7" ht="15.6">
      <c r="A33" s="6" t="s">
        <v>687</v>
      </c>
      <c r="B33" s="6" t="s">
        <v>577</v>
      </c>
      <c r="C33" s="7" t="s">
        <v>688</v>
      </c>
      <c r="D33" s="7" t="s">
        <v>689</v>
      </c>
      <c r="E33" s="6" t="s">
        <v>690</v>
      </c>
      <c r="F33" s="7" t="s">
        <v>232</v>
      </c>
      <c r="G33" t="s">
        <v>166</v>
      </c>
    </row>
    <row r="34" spans="1:7" ht="15.6">
      <c r="A34" s="6" t="s">
        <v>691</v>
      </c>
      <c r="B34" s="6" t="s">
        <v>577</v>
      </c>
      <c r="C34" s="7" t="s">
        <v>692</v>
      </c>
      <c r="D34" s="7" t="s">
        <v>693</v>
      </c>
      <c r="E34" s="6" t="s">
        <v>694</v>
      </c>
      <c r="F34" s="7" t="s">
        <v>549</v>
      </c>
      <c r="G34" t="s">
        <v>203</v>
      </c>
    </row>
    <row r="35" spans="1:7" ht="15.6">
      <c r="A35" s="6" t="s">
        <v>695</v>
      </c>
      <c r="B35" s="6" t="s">
        <v>577</v>
      </c>
      <c r="C35" s="7" t="s">
        <v>696</v>
      </c>
      <c r="D35" s="7" t="s">
        <v>697</v>
      </c>
      <c r="E35" s="6"/>
      <c r="F35" s="7" t="s">
        <v>419</v>
      </c>
      <c r="G35" t="s">
        <v>191</v>
      </c>
    </row>
    <row r="36" spans="1:7" ht="15.6">
      <c r="A36" s="6" t="s">
        <v>698</v>
      </c>
      <c r="B36" s="6" t="s">
        <v>577</v>
      </c>
      <c r="C36" s="7" t="s">
        <v>699</v>
      </c>
      <c r="D36" s="7" t="s">
        <v>700</v>
      </c>
      <c r="E36" s="6"/>
      <c r="F36" s="7" t="s">
        <v>419</v>
      </c>
      <c r="G36" t="s">
        <v>191</v>
      </c>
    </row>
    <row r="37" spans="1:7" ht="15.6">
      <c r="A37" s="6" t="s">
        <v>701</v>
      </c>
      <c r="B37" s="6" t="s">
        <v>577</v>
      </c>
      <c r="C37" s="7" t="s">
        <v>628</v>
      </c>
      <c r="D37" s="7" t="s">
        <v>702</v>
      </c>
      <c r="E37" s="6"/>
      <c r="F37" s="7" t="s">
        <v>419</v>
      </c>
      <c r="G37" t="s">
        <v>191</v>
      </c>
    </row>
    <row r="38" spans="1:7" ht="15.6">
      <c r="A38" s="6" t="s">
        <v>703</v>
      </c>
      <c r="B38" s="6" t="s">
        <v>577</v>
      </c>
      <c r="C38" s="7" t="s">
        <v>704</v>
      </c>
      <c r="D38" s="7" t="s">
        <v>705</v>
      </c>
      <c r="E38" s="6" t="s">
        <v>706</v>
      </c>
      <c r="F38" s="7" t="s">
        <v>420</v>
      </c>
      <c r="G38" t="s">
        <v>191</v>
      </c>
    </row>
    <row r="39" spans="1:7" ht="15.6">
      <c r="A39" s="6" t="s">
        <v>707</v>
      </c>
      <c r="B39" s="6" t="s">
        <v>577</v>
      </c>
      <c r="C39" s="7" t="s">
        <v>708</v>
      </c>
      <c r="D39" s="7" t="s">
        <v>709</v>
      </c>
      <c r="E39" s="6" t="s">
        <v>710</v>
      </c>
      <c r="F39" s="7" t="s">
        <v>421</v>
      </c>
      <c r="G39" t="s">
        <v>191</v>
      </c>
    </row>
    <row r="40" spans="1:7" ht="15.6">
      <c r="A40" s="6" t="s">
        <v>711</v>
      </c>
      <c r="B40" s="6" t="s">
        <v>577</v>
      </c>
      <c r="C40" s="7" t="s">
        <v>628</v>
      </c>
      <c r="D40" s="7" t="s">
        <v>712</v>
      </c>
      <c r="E40" s="6" t="s">
        <v>710</v>
      </c>
      <c r="F40" s="7" t="s">
        <v>421</v>
      </c>
      <c r="G40" t="s">
        <v>191</v>
      </c>
    </row>
    <row r="41" spans="1:7" ht="15.6">
      <c r="A41" s="6" t="s">
        <v>713</v>
      </c>
      <c r="B41" s="6" t="s">
        <v>577</v>
      </c>
      <c r="C41" s="7" t="s">
        <v>714</v>
      </c>
      <c r="D41" s="7" t="s">
        <v>715</v>
      </c>
      <c r="E41" s="6" t="s">
        <v>591</v>
      </c>
      <c r="F41" s="7" t="s">
        <v>235</v>
      </c>
      <c r="G41" t="s">
        <v>166</v>
      </c>
    </row>
    <row r="42" spans="1:7" ht="15.6">
      <c r="A42" s="6" t="s">
        <v>716</v>
      </c>
      <c r="B42" s="6" t="s">
        <v>577</v>
      </c>
      <c r="C42" s="7" t="s">
        <v>717</v>
      </c>
      <c r="D42" s="7" t="s">
        <v>718</v>
      </c>
      <c r="E42" s="6" t="s">
        <v>719</v>
      </c>
      <c r="F42" s="7" t="s">
        <v>238</v>
      </c>
      <c r="G42" t="s">
        <v>166</v>
      </c>
    </row>
    <row r="43" spans="1:7" ht="15.6">
      <c r="A43" s="6" t="s">
        <v>720</v>
      </c>
      <c r="B43" s="6" t="s">
        <v>577</v>
      </c>
      <c r="C43" s="7" t="s">
        <v>721</v>
      </c>
      <c r="D43" s="7" t="s">
        <v>722</v>
      </c>
      <c r="E43" s="6" t="s">
        <v>723</v>
      </c>
      <c r="F43" s="7" t="s">
        <v>422</v>
      </c>
      <c r="G43" t="s">
        <v>191</v>
      </c>
    </row>
    <row r="44" spans="1:7" ht="15.6">
      <c r="A44" s="6" t="s">
        <v>724</v>
      </c>
      <c r="B44" s="6" t="s">
        <v>577</v>
      </c>
      <c r="C44" s="7" t="s">
        <v>725</v>
      </c>
      <c r="D44" s="7" t="s">
        <v>726</v>
      </c>
      <c r="E44" s="6" t="s">
        <v>727</v>
      </c>
      <c r="F44" s="7" t="s">
        <v>370</v>
      </c>
      <c r="G44" t="s">
        <v>173</v>
      </c>
    </row>
    <row r="45" spans="1:7" ht="15.6">
      <c r="A45" s="6" t="s">
        <v>728</v>
      </c>
      <c r="B45" s="6" t="s">
        <v>577</v>
      </c>
      <c r="C45" s="7" t="s">
        <v>729</v>
      </c>
      <c r="D45" s="7" t="s">
        <v>730</v>
      </c>
      <c r="E45" s="6" t="s">
        <v>731</v>
      </c>
      <c r="F45" s="7" t="s">
        <v>423</v>
      </c>
      <c r="G45" t="s">
        <v>191</v>
      </c>
    </row>
    <row r="46" spans="1:7" ht="15.6">
      <c r="A46" s="6" t="s">
        <v>732</v>
      </c>
      <c r="B46" s="6" t="s">
        <v>577</v>
      </c>
      <c r="C46" s="7" t="s">
        <v>733</v>
      </c>
      <c r="D46" s="7" t="s">
        <v>734</v>
      </c>
      <c r="E46" s="6" t="s">
        <v>735</v>
      </c>
      <c r="F46" s="7" t="s">
        <v>371</v>
      </c>
      <c r="G46" t="s">
        <v>173</v>
      </c>
    </row>
    <row r="47" spans="1:7" ht="15.6">
      <c r="A47" s="6" t="s">
        <v>736</v>
      </c>
      <c r="B47" s="6" t="s">
        <v>577</v>
      </c>
      <c r="C47" s="7" t="s">
        <v>737</v>
      </c>
      <c r="D47" s="7" t="s">
        <v>738</v>
      </c>
      <c r="E47" s="6" t="s">
        <v>735</v>
      </c>
      <c r="F47" s="7" t="s">
        <v>371</v>
      </c>
      <c r="G47" t="s">
        <v>173</v>
      </c>
    </row>
    <row r="48" spans="1:7" ht="15.6">
      <c r="A48" s="6" t="s">
        <v>739</v>
      </c>
      <c r="B48" s="6" t="s">
        <v>577</v>
      </c>
      <c r="C48" s="7" t="s">
        <v>740</v>
      </c>
      <c r="D48" s="7" t="s">
        <v>741</v>
      </c>
      <c r="E48" s="6" t="s">
        <v>735</v>
      </c>
      <c r="F48" s="7" t="s">
        <v>371</v>
      </c>
      <c r="G48" t="s">
        <v>173</v>
      </c>
    </row>
    <row r="49" spans="1:7" ht="15.6">
      <c r="A49" s="6" t="s">
        <v>742</v>
      </c>
      <c r="B49" s="6" t="s">
        <v>577</v>
      </c>
      <c r="C49" s="7" t="s">
        <v>743</v>
      </c>
      <c r="D49" s="7" t="s">
        <v>744</v>
      </c>
      <c r="E49" s="6" t="s">
        <v>735</v>
      </c>
      <c r="F49" s="7" t="s">
        <v>371</v>
      </c>
      <c r="G49" t="s">
        <v>173</v>
      </c>
    </row>
    <row r="50" spans="1:7" ht="15.6">
      <c r="A50" s="6" t="s">
        <v>745</v>
      </c>
      <c r="B50" s="6" t="s">
        <v>577</v>
      </c>
      <c r="C50" s="7" t="s">
        <v>746</v>
      </c>
      <c r="D50" s="7" t="s">
        <v>747</v>
      </c>
      <c r="E50" s="6" t="s">
        <v>735</v>
      </c>
      <c r="F50" s="7" t="s">
        <v>371</v>
      </c>
      <c r="G50" t="s">
        <v>173</v>
      </c>
    </row>
    <row r="51" spans="1:7" ht="15.6">
      <c r="A51" s="6" t="s">
        <v>748</v>
      </c>
      <c r="B51" s="6" t="s">
        <v>577</v>
      </c>
      <c r="C51" s="7" t="s">
        <v>749</v>
      </c>
      <c r="D51" s="7" t="s">
        <v>750</v>
      </c>
      <c r="E51" s="6" t="s">
        <v>735</v>
      </c>
      <c r="F51" s="7" t="s">
        <v>371</v>
      </c>
      <c r="G51" t="s">
        <v>173</v>
      </c>
    </row>
    <row r="52" spans="1:7" ht="15.6">
      <c r="A52" s="6" t="s">
        <v>751</v>
      </c>
      <c r="B52" s="6" t="s">
        <v>577</v>
      </c>
      <c r="C52" s="7" t="s">
        <v>752</v>
      </c>
      <c r="D52" s="7" t="s">
        <v>753</v>
      </c>
      <c r="E52" s="6" t="s">
        <v>735</v>
      </c>
      <c r="F52" s="7" t="s">
        <v>371</v>
      </c>
      <c r="G52" t="s">
        <v>173</v>
      </c>
    </row>
    <row r="53" spans="1:7" ht="15.6">
      <c r="A53" s="6" t="s">
        <v>754</v>
      </c>
      <c r="B53" s="6" t="s">
        <v>577</v>
      </c>
      <c r="C53" s="7" t="s">
        <v>755</v>
      </c>
      <c r="D53" s="7" t="s">
        <v>756</v>
      </c>
      <c r="E53" s="6" t="s">
        <v>735</v>
      </c>
      <c r="F53" s="7" t="s">
        <v>371</v>
      </c>
      <c r="G53" t="s">
        <v>173</v>
      </c>
    </row>
    <row r="54" spans="1:7" ht="15.6">
      <c r="A54" s="6" t="s">
        <v>757</v>
      </c>
      <c r="B54" s="6" t="s">
        <v>577</v>
      </c>
      <c r="C54" s="7" t="s">
        <v>758</v>
      </c>
      <c r="D54" s="7" t="s">
        <v>759</v>
      </c>
      <c r="E54" s="6" t="s">
        <v>735</v>
      </c>
      <c r="F54" s="7" t="s">
        <v>371</v>
      </c>
      <c r="G54" t="s">
        <v>173</v>
      </c>
    </row>
    <row r="55" spans="1:7" ht="15.6">
      <c r="A55" s="6" t="s">
        <v>760</v>
      </c>
      <c r="B55" s="6" t="s">
        <v>577</v>
      </c>
      <c r="C55" s="7" t="s">
        <v>761</v>
      </c>
      <c r="D55" s="7" t="s">
        <v>762</v>
      </c>
      <c r="E55" s="6" t="s">
        <v>735</v>
      </c>
      <c r="F55" s="7" t="s">
        <v>371</v>
      </c>
      <c r="G55" t="s">
        <v>173</v>
      </c>
    </row>
    <row r="56" spans="1:7" ht="15.6">
      <c r="A56" s="6" t="s">
        <v>763</v>
      </c>
      <c r="B56" s="6" t="s">
        <v>577</v>
      </c>
      <c r="C56" s="7" t="s">
        <v>764</v>
      </c>
      <c r="D56" s="7" t="s">
        <v>765</v>
      </c>
      <c r="E56" s="6" t="s">
        <v>723</v>
      </c>
      <c r="F56" s="7" t="s">
        <v>424</v>
      </c>
      <c r="G56" t="s">
        <v>191</v>
      </c>
    </row>
    <row r="57" spans="1:7" ht="15.6">
      <c r="A57" s="6" t="s">
        <v>766</v>
      </c>
      <c r="B57" s="6" t="s">
        <v>577</v>
      </c>
      <c r="C57" s="7" t="s">
        <v>767</v>
      </c>
      <c r="D57" s="7" t="s">
        <v>768</v>
      </c>
      <c r="E57" s="6" t="s">
        <v>769</v>
      </c>
      <c r="F57" s="7" t="s">
        <v>239</v>
      </c>
      <c r="G57" t="s">
        <v>166</v>
      </c>
    </row>
    <row r="58" spans="1:7" ht="15.6">
      <c r="A58" s="6" t="s">
        <v>770</v>
      </c>
      <c r="B58" s="6" t="s">
        <v>577</v>
      </c>
      <c r="C58" s="7" t="s">
        <v>771</v>
      </c>
      <c r="D58" s="7" t="s">
        <v>772</v>
      </c>
      <c r="E58" s="6" t="s">
        <v>769</v>
      </c>
      <c r="F58" s="7" t="s">
        <v>239</v>
      </c>
      <c r="G58" t="s">
        <v>166</v>
      </c>
    </row>
    <row r="59" spans="1:7" ht="15.6">
      <c r="A59" s="6" t="s">
        <v>773</v>
      </c>
      <c r="B59" s="6" t="s">
        <v>577</v>
      </c>
      <c r="C59" s="7" t="s">
        <v>774</v>
      </c>
      <c r="D59" s="7" t="s">
        <v>775</v>
      </c>
      <c r="E59" s="6" t="s">
        <v>769</v>
      </c>
      <c r="F59" s="7" t="s">
        <v>239</v>
      </c>
      <c r="G59" t="s">
        <v>166</v>
      </c>
    </row>
    <row r="60" spans="1:7" ht="15.6">
      <c r="A60" s="6" t="s">
        <v>776</v>
      </c>
      <c r="B60" s="6" t="s">
        <v>577</v>
      </c>
      <c r="C60" s="7" t="s">
        <v>777</v>
      </c>
      <c r="D60" s="7" t="s">
        <v>778</v>
      </c>
      <c r="E60" s="6" t="s">
        <v>769</v>
      </c>
      <c r="F60" s="7" t="s">
        <v>239</v>
      </c>
      <c r="G60" t="s">
        <v>166</v>
      </c>
    </row>
    <row r="61" spans="1:7" ht="15.6">
      <c r="A61" s="6" t="s">
        <v>779</v>
      </c>
      <c r="B61" s="6" t="s">
        <v>577</v>
      </c>
      <c r="C61" s="7" t="s">
        <v>780</v>
      </c>
      <c r="D61" s="7" t="s">
        <v>781</v>
      </c>
      <c r="E61" s="6" t="s">
        <v>769</v>
      </c>
      <c r="F61" s="7" t="s">
        <v>239</v>
      </c>
      <c r="G61" t="s">
        <v>166</v>
      </c>
    </row>
    <row r="62" spans="1:7" ht="15.6">
      <c r="A62" s="6" t="s">
        <v>782</v>
      </c>
      <c r="B62" s="6" t="s">
        <v>577</v>
      </c>
      <c r="C62" s="7" t="s">
        <v>783</v>
      </c>
      <c r="D62" s="7" t="s">
        <v>784</v>
      </c>
      <c r="E62" s="6" t="s">
        <v>769</v>
      </c>
      <c r="F62" s="7" t="s">
        <v>239</v>
      </c>
      <c r="G62" t="s">
        <v>166</v>
      </c>
    </row>
    <row r="63" spans="1:7" ht="15.6">
      <c r="A63" s="6" t="s">
        <v>785</v>
      </c>
      <c r="B63" s="6" t="s">
        <v>577</v>
      </c>
      <c r="C63" s="7" t="s">
        <v>786</v>
      </c>
      <c r="D63" s="7" t="s">
        <v>787</v>
      </c>
      <c r="E63" s="6" t="s">
        <v>769</v>
      </c>
      <c r="F63" s="7" t="s">
        <v>239</v>
      </c>
      <c r="G63" t="s">
        <v>166</v>
      </c>
    </row>
    <row r="64" spans="1:7" ht="15.6">
      <c r="A64" s="6" t="s">
        <v>788</v>
      </c>
      <c r="B64" s="6" t="s">
        <v>577</v>
      </c>
      <c r="C64" s="7" t="s">
        <v>780</v>
      </c>
      <c r="D64" s="7" t="s">
        <v>789</v>
      </c>
      <c r="E64" s="6" t="s">
        <v>769</v>
      </c>
      <c r="F64" s="7" t="s">
        <v>239</v>
      </c>
      <c r="G64" t="s">
        <v>166</v>
      </c>
    </row>
    <row r="65" spans="1:7" ht="15.6">
      <c r="A65" s="6" t="s">
        <v>790</v>
      </c>
      <c r="B65" s="6" t="s">
        <v>577</v>
      </c>
      <c r="C65" s="7" t="s">
        <v>780</v>
      </c>
      <c r="D65" s="7" t="s">
        <v>791</v>
      </c>
      <c r="E65" s="6" t="s">
        <v>769</v>
      </c>
      <c r="F65" s="7" t="s">
        <v>239</v>
      </c>
      <c r="G65" t="s">
        <v>166</v>
      </c>
    </row>
    <row r="66" spans="1:7" ht="15.6">
      <c r="A66" s="6" t="s">
        <v>792</v>
      </c>
      <c r="B66" s="6" t="s">
        <v>577</v>
      </c>
      <c r="C66" s="7" t="s">
        <v>793</v>
      </c>
      <c r="D66" s="7" t="s">
        <v>794</v>
      </c>
      <c r="E66" s="6" t="s">
        <v>769</v>
      </c>
      <c r="F66" s="7" t="s">
        <v>239</v>
      </c>
      <c r="G66" t="s">
        <v>166</v>
      </c>
    </row>
    <row r="67" spans="1:7" ht="15.6">
      <c r="A67" s="6" t="s">
        <v>795</v>
      </c>
      <c r="B67" s="6" t="s">
        <v>577</v>
      </c>
      <c r="C67" s="7" t="s">
        <v>628</v>
      </c>
      <c r="D67" s="7" t="s">
        <v>796</v>
      </c>
      <c r="E67" s="6" t="s">
        <v>769</v>
      </c>
      <c r="F67" s="7" t="s">
        <v>239</v>
      </c>
      <c r="G67" t="s">
        <v>166</v>
      </c>
    </row>
    <row r="68" spans="1:7" ht="15.6">
      <c r="A68" s="6" t="s">
        <v>797</v>
      </c>
      <c r="B68" s="6" t="s">
        <v>577</v>
      </c>
      <c r="C68" s="7" t="s">
        <v>798</v>
      </c>
      <c r="D68" s="7" t="s">
        <v>799</v>
      </c>
      <c r="E68" s="6" t="s">
        <v>769</v>
      </c>
      <c r="F68" s="7" t="s">
        <v>239</v>
      </c>
      <c r="G68" t="s">
        <v>166</v>
      </c>
    </row>
    <row r="69" spans="1:7" ht="15.6">
      <c r="A69" s="6" t="s">
        <v>800</v>
      </c>
      <c r="B69" s="6" t="s">
        <v>577</v>
      </c>
      <c r="C69" s="7" t="s">
        <v>780</v>
      </c>
      <c r="D69" s="7" t="s">
        <v>801</v>
      </c>
      <c r="E69" s="6" t="s">
        <v>769</v>
      </c>
      <c r="F69" s="7" t="s">
        <v>239</v>
      </c>
      <c r="G69" t="s">
        <v>166</v>
      </c>
    </row>
    <row r="70" spans="1:7" ht="15.6">
      <c r="A70" s="6" t="s">
        <v>802</v>
      </c>
      <c r="B70" s="6" t="s">
        <v>577</v>
      </c>
      <c r="C70" s="7" t="s">
        <v>780</v>
      </c>
      <c r="D70" s="7" t="s">
        <v>803</v>
      </c>
      <c r="E70" s="6" t="s">
        <v>769</v>
      </c>
      <c r="F70" s="7" t="s">
        <v>239</v>
      </c>
      <c r="G70" t="s">
        <v>166</v>
      </c>
    </row>
    <row r="71" spans="1:7" ht="15.6">
      <c r="A71" s="6" t="s">
        <v>804</v>
      </c>
      <c r="B71" s="6" t="s">
        <v>577</v>
      </c>
      <c r="C71" s="7" t="s">
        <v>805</v>
      </c>
      <c r="D71" s="7" t="s">
        <v>806</v>
      </c>
      <c r="E71" s="6" t="s">
        <v>769</v>
      </c>
      <c r="F71" s="7" t="s">
        <v>239</v>
      </c>
      <c r="G71" t="s">
        <v>166</v>
      </c>
    </row>
    <row r="72" spans="1:7" ht="15.6">
      <c r="A72" s="6" t="s">
        <v>807</v>
      </c>
      <c r="B72" s="6" t="s">
        <v>577</v>
      </c>
      <c r="C72" s="7" t="s">
        <v>780</v>
      </c>
      <c r="D72" s="7" t="s">
        <v>808</v>
      </c>
      <c r="E72" s="6" t="s">
        <v>769</v>
      </c>
      <c r="F72" s="7" t="s">
        <v>239</v>
      </c>
      <c r="G72" t="s">
        <v>166</v>
      </c>
    </row>
    <row r="73" spans="1:7" ht="15.6">
      <c r="A73" s="6" t="s">
        <v>809</v>
      </c>
      <c r="B73" s="6" t="s">
        <v>577</v>
      </c>
      <c r="C73" s="7" t="s">
        <v>780</v>
      </c>
      <c r="D73" s="7" t="s">
        <v>810</v>
      </c>
      <c r="E73" s="6" t="s">
        <v>769</v>
      </c>
      <c r="F73" s="7" t="s">
        <v>239</v>
      </c>
      <c r="G73" t="s">
        <v>166</v>
      </c>
    </row>
    <row r="74" spans="1:7" ht="15.6">
      <c r="A74" s="6" t="s">
        <v>811</v>
      </c>
      <c r="B74" s="6" t="s">
        <v>577</v>
      </c>
      <c r="C74" s="7" t="s">
        <v>780</v>
      </c>
      <c r="D74" s="7" t="s">
        <v>812</v>
      </c>
      <c r="E74" s="6" t="s">
        <v>769</v>
      </c>
      <c r="F74" s="7" t="s">
        <v>239</v>
      </c>
      <c r="G74" t="s">
        <v>166</v>
      </c>
    </row>
    <row r="75" spans="1:7" ht="15.6">
      <c r="A75" s="6" t="s">
        <v>813</v>
      </c>
      <c r="B75" s="6" t="s">
        <v>577</v>
      </c>
      <c r="C75" s="7" t="s">
        <v>814</v>
      </c>
      <c r="D75" s="7" t="s">
        <v>815</v>
      </c>
      <c r="E75" s="6" t="s">
        <v>769</v>
      </c>
      <c r="F75" s="7" t="s">
        <v>239</v>
      </c>
      <c r="G75" t="s">
        <v>166</v>
      </c>
    </row>
    <row r="76" spans="1:7" ht="15.6">
      <c r="A76" s="6" t="s">
        <v>816</v>
      </c>
      <c r="B76" s="6" t="s">
        <v>577</v>
      </c>
      <c r="C76" s="7" t="s">
        <v>817</v>
      </c>
      <c r="D76" s="7" t="s">
        <v>818</v>
      </c>
      <c r="E76" s="6" t="s">
        <v>769</v>
      </c>
      <c r="F76" s="7" t="s">
        <v>239</v>
      </c>
      <c r="G76" t="s">
        <v>166</v>
      </c>
    </row>
    <row r="77" spans="1:7" ht="15.6">
      <c r="A77" s="6" t="s">
        <v>819</v>
      </c>
      <c r="B77" s="6" t="s">
        <v>577</v>
      </c>
      <c r="C77" s="7" t="s">
        <v>780</v>
      </c>
      <c r="D77" s="7" t="s">
        <v>820</v>
      </c>
      <c r="E77" s="6" t="s">
        <v>769</v>
      </c>
      <c r="F77" s="7" t="s">
        <v>239</v>
      </c>
      <c r="G77" t="s">
        <v>166</v>
      </c>
    </row>
    <row r="78" spans="1:7" ht="15.6">
      <c r="A78" s="6" t="s">
        <v>821</v>
      </c>
      <c r="B78" s="6" t="s">
        <v>577</v>
      </c>
      <c r="C78" s="7" t="s">
        <v>780</v>
      </c>
      <c r="D78" s="7" t="s">
        <v>822</v>
      </c>
      <c r="E78" s="6" t="s">
        <v>769</v>
      </c>
      <c r="F78" s="7" t="s">
        <v>239</v>
      </c>
      <c r="G78" t="s">
        <v>166</v>
      </c>
    </row>
    <row r="79" spans="1:7" ht="15.6">
      <c r="A79" s="6" t="s">
        <v>823</v>
      </c>
      <c r="B79" s="6" t="s">
        <v>577</v>
      </c>
      <c r="C79" s="7" t="s">
        <v>780</v>
      </c>
      <c r="D79" s="7" t="s">
        <v>824</v>
      </c>
      <c r="E79" s="6" t="s">
        <v>769</v>
      </c>
      <c r="F79" s="7" t="s">
        <v>239</v>
      </c>
      <c r="G79" t="s">
        <v>166</v>
      </c>
    </row>
    <row r="80" spans="1:7" ht="15.6">
      <c r="A80" s="6" t="s">
        <v>825</v>
      </c>
      <c r="B80" s="6" t="s">
        <v>577</v>
      </c>
      <c r="C80" s="7" t="s">
        <v>780</v>
      </c>
      <c r="D80" s="7" t="s">
        <v>826</v>
      </c>
      <c r="E80" s="6" t="s">
        <v>769</v>
      </c>
      <c r="F80" s="7" t="s">
        <v>239</v>
      </c>
      <c r="G80" t="s">
        <v>166</v>
      </c>
    </row>
    <row r="81" spans="1:7" ht="15.6">
      <c r="A81" s="6" t="s">
        <v>827</v>
      </c>
      <c r="B81" s="6" t="s">
        <v>577</v>
      </c>
      <c r="C81" s="7" t="s">
        <v>828</v>
      </c>
      <c r="D81" s="7" t="s">
        <v>829</v>
      </c>
      <c r="E81" s="6" t="s">
        <v>769</v>
      </c>
      <c r="F81" s="7" t="s">
        <v>239</v>
      </c>
      <c r="G81" t="s">
        <v>166</v>
      </c>
    </row>
    <row r="82" spans="1:7" ht="15.6">
      <c r="A82" s="6" t="s">
        <v>830</v>
      </c>
      <c r="B82" s="6" t="s">
        <v>577</v>
      </c>
      <c r="C82" s="7" t="s">
        <v>831</v>
      </c>
      <c r="D82" s="7" t="s">
        <v>832</v>
      </c>
      <c r="E82" s="6" t="s">
        <v>719</v>
      </c>
      <c r="F82" s="7" t="s">
        <v>241</v>
      </c>
      <c r="G82" t="s">
        <v>166</v>
      </c>
    </row>
    <row r="83" spans="1:7" ht="15.6">
      <c r="A83" s="6" t="s">
        <v>833</v>
      </c>
      <c r="B83" s="6" t="s">
        <v>577</v>
      </c>
      <c r="C83" s="7" t="s">
        <v>834</v>
      </c>
      <c r="D83" s="7" t="s">
        <v>835</v>
      </c>
      <c r="E83" s="6" t="s">
        <v>836</v>
      </c>
      <c r="F83" s="7" t="s">
        <v>425</v>
      </c>
      <c r="G83" t="s">
        <v>191</v>
      </c>
    </row>
    <row r="84" spans="1:7" ht="15.6">
      <c r="A84" s="6" t="s">
        <v>837</v>
      </c>
      <c r="B84" s="6" t="s">
        <v>577</v>
      </c>
      <c r="C84" s="7" t="s">
        <v>838</v>
      </c>
      <c r="D84" s="7" t="s">
        <v>839</v>
      </c>
      <c r="E84" s="6" t="s">
        <v>840</v>
      </c>
      <c r="F84" s="7" t="s">
        <v>244</v>
      </c>
      <c r="G84" t="s">
        <v>245</v>
      </c>
    </row>
    <row r="85" spans="1:7" ht="15.6">
      <c r="A85" s="6" t="s">
        <v>841</v>
      </c>
      <c r="B85" s="6" t="s">
        <v>577</v>
      </c>
      <c r="C85" s="7" t="s">
        <v>842</v>
      </c>
      <c r="D85" s="7" t="s">
        <v>843</v>
      </c>
      <c r="E85" s="6" t="s">
        <v>844</v>
      </c>
      <c r="F85" s="7" t="s">
        <v>516</v>
      </c>
      <c r="G85" t="s">
        <v>206</v>
      </c>
    </row>
    <row r="86" spans="1:7" ht="15.6">
      <c r="A86" s="6" t="s">
        <v>845</v>
      </c>
      <c r="B86" s="6" t="s">
        <v>577</v>
      </c>
      <c r="C86" s="7" t="s">
        <v>846</v>
      </c>
      <c r="D86" s="7" t="s">
        <v>847</v>
      </c>
      <c r="E86" s="6" t="s">
        <v>844</v>
      </c>
      <c r="F86" s="7" t="s">
        <v>249</v>
      </c>
      <c r="G86" t="s">
        <v>166</v>
      </c>
    </row>
    <row r="87" spans="1:7" ht="15.6">
      <c r="A87" s="6" t="s">
        <v>848</v>
      </c>
      <c r="B87" s="6" t="s">
        <v>577</v>
      </c>
      <c r="C87" s="7" t="s">
        <v>849</v>
      </c>
      <c r="D87" s="7" t="s">
        <v>850</v>
      </c>
      <c r="E87" s="6" t="s">
        <v>844</v>
      </c>
      <c r="F87" s="7" t="s">
        <v>517</v>
      </c>
      <c r="G87" t="s">
        <v>206</v>
      </c>
    </row>
    <row r="88" spans="1:7" ht="15.6">
      <c r="A88" s="6" t="s">
        <v>851</v>
      </c>
      <c r="B88" s="6" t="s">
        <v>577</v>
      </c>
      <c r="C88" s="7" t="s">
        <v>849</v>
      </c>
      <c r="D88" s="7" t="s">
        <v>852</v>
      </c>
      <c r="E88" s="6" t="s">
        <v>844</v>
      </c>
      <c r="F88" s="7" t="s">
        <v>253</v>
      </c>
      <c r="G88" t="s">
        <v>166</v>
      </c>
    </row>
    <row r="89" spans="1:7" ht="15.6">
      <c r="A89" s="6" t="s">
        <v>853</v>
      </c>
      <c r="B89" s="6" t="s">
        <v>577</v>
      </c>
      <c r="C89" s="7" t="s">
        <v>854</v>
      </c>
      <c r="D89" s="7" t="s">
        <v>855</v>
      </c>
      <c r="E89" s="6" t="s">
        <v>856</v>
      </c>
      <c r="F89" s="7" t="s">
        <v>426</v>
      </c>
      <c r="G89" t="s">
        <v>191</v>
      </c>
    </row>
    <row r="90" spans="1:7" ht="15.6">
      <c r="A90" s="6" t="s">
        <v>857</v>
      </c>
      <c r="B90" s="6" t="s">
        <v>577</v>
      </c>
      <c r="C90" s="7" t="s">
        <v>628</v>
      </c>
      <c r="D90" s="7" t="s">
        <v>858</v>
      </c>
      <c r="E90" s="6" t="s">
        <v>844</v>
      </c>
      <c r="F90" s="7" t="s">
        <v>372</v>
      </c>
      <c r="G90" t="s">
        <v>173</v>
      </c>
    </row>
    <row r="91" spans="1:7" ht="15.6">
      <c r="A91" s="6" t="s">
        <v>859</v>
      </c>
      <c r="B91" s="6" t="s">
        <v>577</v>
      </c>
      <c r="C91" s="7" t="s">
        <v>860</v>
      </c>
      <c r="D91" s="7" t="s">
        <v>861</v>
      </c>
      <c r="E91" s="6" t="s">
        <v>844</v>
      </c>
      <c r="F91" s="7" t="s">
        <v>372</v>
      </c>
      <c r="G91" t="s">
        <v>173</v>
      </c>
    </row>
    <row r="92" spans="1:7" ht="15.6">
      <c r="A92" s="6" t="s">
        <v>862</v>
      </c>
      <c r="B92" s="6" t="s">
        <v>577</v>
      </c>
      <c r="C92" s="7" t="s">
        <v>628</v>
      </c>
      <c r="D92" s="7" t="s">
        <v>863</v>
      </c>
      <c r="E92" s="6" t="s">
        <v>844</v>
      </c>
      <c r="F92" s="7" t="s">
        <v>372</v>
      </c>
      <c r="G92" t="s">
        <v>173</v>
      </c>
    </row>
    <row r="93" spans="1:7" ht="15.6">
      <c r="A93" s="6" t="s">
        <v>864</v>
      </c>
      <c r="B93" s="6" t="s">
        <v>577</v>
      </c>
      <c r="C93" s="7" t="s">
        <v>865</v>
      </c>
      <c r="D93" s="7" t="s">
        <v>866</v>
      </c>
      <c r="E93" s="6" t="s">
        <v>856</v>
      </c>
      <c r="F93" s="7" t="s">
        <v>257</v>
      </c>
      <c r="G93" t="s">
        <v>166</v>
      </c>
    </row>
    <row r="94" spans="1:7" ht="15.6">
      <c r="A94" s="6" t="s">
        <v>867</v>
      </c>
      <c r="B94" s="6" t="s">
        <v>577</v>
      </c>
      <c r="C94" s="7" t="s">
        <v>868</v>
      </c>
      <c r="D94" s="7" t="s">
        <v>869</v>
      </c>
      <c r="E94" s="6" t="s">
        <v>870</v>
      </c>
      <c r="F94" s="7" t="s">
        <v>260</v>
      </c>
      <c r="G94" t="s">
        <v>166</v>
      </c>
    </row>
    <row r="95" spans="1:7" ht="15.6">
      <c r="A95" s="6" t="s">
        <v>871</v>
      </c>
      <c r="B95" s="6" t="s">
        <v>577</v>
      </c>
      <c r="C95" s="7" t="s">
        <v>872</v>
      </c>
      <c r="D95" s="7" t="s">
        <v>873</v>
      </c>
      <c r="E95" s="6" t="s">
        <v>870</v>
      </c>
      <c r="F95" s="7" t="s">
        <v>260</v>
      </c>
      <c r="G95" t="s">
        <v>166</v>
      </c>
    </row>
    <row r="96" spans="1:7" ht="15.6">
      <c r="A96" s="6" t="s">
        <v>874</v>
      </c>
      <c r="B96" s="6" t="s">
        <v>577</v>
      </c>
      <c r="C96" s="7" t="s">
        <v>875</v>
      </c>
      <c r="D96" s="7" t="s">
        <v>876</v>
      </c>
      <c r="E96" s="6" t="s">
        <v>870</v>
      </c>
      <c r="F96" s="7" t="s">
        <v>260</v>
      </c>
      <c r="G96" t="s">
        <v>166</v>
      </c>
    </row>
    <row r="97" spans="1:7" ht="15.6">
      <c r="A97" s="6" t="s">
        <v>877</v>
      </c>
      <c r="B97" s="6" t="s">
        <v>577</v>
      </c>
      <c r="C97" s="7" t="s">
        <v>878</v>
      </c>
      <c r="D97" s="7" t="s">
        <v>866</v>
      </c>
      <c r="E97" s="6" t="s">
        <v>591</v>
      </c>
      <c r="F97" s="7" t="s">
        <v>263</v>
      </c>
      <c r="G97" t="s">
        <v>166</v>
      </c>
    </row>
    <row r="98" spans="1:7" ht="15.6">
      <c r="A98" s="6" t="s">
        <v>879</v>
      </c>
      <c r="B98" s="6" t="s">
        <v>577</v>
      </c>
      <c r="C98" s="7" t="s">
        <v>880</v>
      </c>
      <c r="D98" s="7" t="s">
        <v>881</v>
      </c>
      <c r="E98" s="6" t="s">
        <v>591</v>
      </c>
      <c r="F98" s="7" t="s">
        <v>263</v>
      </c>
      <c r="G98" t="s">
        <v>166</v>
      </c>
    </row>
    <row r="99" spans="1:7" ht="15.6">
      <c r="A99" s="6" t="s">
        <v>882</v>
      </c>
      <c r="B99" s="6" t="s">
        <v>577</v>
      </c>
      <c r="C99" s="7" t="s">
        <v>883</v>
      </c>
      <c r="D99" s="7" t="s">
        <v>884</v>
      </c>
      <c r="E99" s="6" t="s">
        <v>885</v>
      </c>
      <c r="F99" s="7" t="s">
        <v>508</v>
      </c>
      <c r="G99" t="s">
        <v>200</v>
      </c>
    </row>
    <row r="100" spans="1:7" ht="15.6">
      <c r="A100" s="6" t="s">
        <v>886</v>
      </c>
      <c r="B100" s="6" t="s">
        <v>577</v>
      </c>
      <c r="C100" s="7" t="s">
        <v>887</v>
      </c>
      <c r="D100" s="7" t="s">
        <v>888</v>
      </c>
      <c r="E100" s="6" t="s">
        <v>885</v>
      </c>
      <c r="F100" s="7" t="s">
        <v>508</v>
      </c>
      <c r="G100" t="s">
        <v>200</v>
      </c>
    </row>
    <row r="101" spans="1:7" ht="15.6">
      <c r="A101" s="6" t="s">
        <v>889</v>
      </c>
      <c r="B101" s="6" t="s">
        <v>577</v>
      </c>
      <c r="C101" s="7" t="s">
        <v>890</v>
      </c>
      <c r="D101" s="7" t="s">
        <v>891</v>
      </c>
      <c r="E101" s="6" t="s">
        <v>885</v>
      </c>
      <c r="F101" s="7" t="s">
        <v>508</v>
      </c>
      <c r="G101" t="s">
        <v>200</v>
      </c>
    </row>
    <row r="102" spans="1:7" ht="15.6">
      <c r="A102" s="6" t="s">
        <v>892</v>
      </c>
      <c r="B102" s="6" t="s">
        <v>577</v>
      </c>
      <c r="C102" s="7" t="s">
        <v>893</v>
      </c>
      <c r="D102" s="7" t="s">
        <v>894</v>
      </c>
      <c r="E102" s="6" t="s">
        <v>885</v>
      </c>
      <c r="F102" s="7" t="s">
        <v>508</v>
      </c>
      <c r="G102" t="s">
        <v>200</v>
      </c>
    </row>
    <row r="103" spans="1:7" ht="15.6">
      <c r="A103" s="6" t="s">
        <v>895</v>
      </c>
      <c r="B103" s="6" t="s">
        <v>577</v>
      </c>
      <c r="C103" s="7" t="s">
        <v>896</v>
      </c>
      <c r="D103" s="7" t="s">
        <v>897</v>
      </c>
      <c r="E103" s="6" t="s">
        <v>898</v>
      </c>
      <c r="F103" s="7" t="s">
        <v>373</v>
      </c>
      <c r="G103" t="s">
        <v>173</v>
      </c>
    </row>
    <row r="104" spans="1:7" ht="15.6">
      <c r="A104" s="6" t="s">
        <v>899</v>
      </c>
      <c r="B104" s="6" t="s">
        <v>577</v>
      </c>
      <c r="C104" s="7" t="s">
        <v>900</v>
      </c>
      <c r="D104" s="7" t="s">
        <v>901</v>
      </c>
      <c r="E104" s="6" t="s">
        <v>723</v>
      </c>
      <c r="F104" s="7" t="s">
        <v>427</v>
      </c>
      <c r="G104" t="s">
        <v>191</v>
      </c>
    </row>
    <row r="105" spans="1:7" ht="15.6">
      <c r="A105" s="6" t="s">
        <v>902</v>
      </c>
      <c r="B105" s="6" t="s">
        <v>577</v>
      </c>
      <c r="C105" s="7" t="s">
        <v>903</v>
      </c>
      <c r="D105" s="7" t="s">
        <v>904</v>
      </c>
      <c r="E105" s="6" t="s">
        <v>905</v>
      </c>
      <c r="F105" s="7" t="s">
        <v>428</v>
      </c>
      <c r="G105" t="s">
        <v>191</v>
      </c>
    </row>
    <row r="106" spans="1:7" ht="15.6">
      <c r="A106" s="6" t="s">
        <v>906</v>
      </c>
      <c r="B106" s="6" t="s">
        <v>577</v>
      </c>
      <c r="C106" s="7" t="s">
        <v>907</v>
      </c>
      <c r="D106" s="7" t="s">
        <v>908</v>
      </c>
      <c r="E106" s="6" t="s">
        <v>909</v>
      </c>
      <c r="F106" s="7" t="s">
        <v>267</v>
      </c>
      <c r="G106" t="s">
        <v>166</v>
      </c>
    </row>
    <row r="107" spans="1:7" ht="15.6">
      <c r="A107" s="6" t="s">
        <v>910</v>
      </c>
      <c r="B107" s="6" t="s">
        <v>577</v>
      </c>
      <c r="C107" s="7" t="s">
        <v>911</v>
      </c>
      <c r="D107" s="7" t="s">
        <v>912</v>
      </c>
      <c r="E107" s="6" t="s">
        <v>913</v>
      </c>
      <c r="F107" s="7" t="s">
        <v>519</v>
      </c>
      <c r="G107" t="s">
        <v>206</v>
      </c>
    </row>
    <row r="108" spans="1:7" ht="15.6">
      <c r="A108" s="6" t="s">
        <v>914</v>
      </c>
      <c r="B108" s="6" t="s">
        <v>577</v>
      </c>
      <c r="C108" s="7" t="s">
        <v>915</v>
      </c>
      <c r="D108" s="7" t="s">
        <v>916</v>
      </c>
      <c r="E108" s="6" t="s">
        <v>917</v>
      </c>
      <c r="F108" s="7" t="s">
        <v>429</v>
      </c>
      <c r="G108" t="s">
        <v>191</v>
      </c>
    </row>
    <row r="109" spans="1:7" ht="15.6">
      <c r="A109" s="6" t="s">
        <v>918</v>
      </c>
      <c r="B109" s="6" t="s">
        <v>577</v>
      </c>
      <c r="C109" s="7" t="s">
        <v>919</v>
      </c>
      <c r="D109" s="7" t="s">
        <v>920</v>
      </c>
      <c r="E109" s="6" t="s">
        <v>917</v>
      </c>
      <c r="F109" s="7" t="s">
        <v>429</v>
      </c>
      <c r="G109" t="s">
        <v>191</v>
      </c>
    </row>
    <row r="110" spans="1:7" ht="15.6">
      <c r="A110" s="6" t="s">
        <v>921</v>
      </c>
      <c r="B110" s="6" t="s">
        <v>577</v>
      </c>
      <c r="C110" s="7" t="s">
        <v>922</v>
      </c>
      <c r="D110" s="7" t="s">
        <v>923</v>
      </c>
      <c r="E110" s="6" t="s">
        <v>836</v>
      </c>
      <c r="F110" s="7" t="s">
        <v>520</v>
      </c>
      <c r="G110" t="s">
        <v>206</v>
      </c>
    </row>
    <row r="111" spans="1:7" ht="15.6">
      <c r="A111" s="6" t="s">
        <v>924</v>
      </c>
      <c r="B111" s="6" t="s">
        <v>577</v>
      </c>
      <c r="C111" s="7" t="s">
        <v>925</v>
      </c>
      <c r="D111" s="7" t="s">
        <v>926</v>
      </c>
      <c r="E111" s="6" t="s">
        <v>836</v>
      </c>
      <c r="F111" s="7" t="s">
        <v>520</v>
      </c>
      <c r="G111" t="s">
        <v>206</v>
      </c>
    </row>
    <row r="112" spans="1:7" ht="15.6">
      <c r="A112" s="6" t="s">
        <v>927</v>
      </c>
      <c r="B112" s="6" t="s">
        <v>577</v>
      </c>
      <c r="C112" s="7" t="s">
        <v>928</v>
      </c>
      <c r="D112" s="7" t="s">
        <v>929</v>
      </c>
      <c r="E112" s="6" t="s">
        <v>836</v>
      </c>
      <c r="F112" s="7" t="s">
        <v>520</v>
      </c>
      <c r="G112" t="s">
        <v>206</v>
      </c>
    </row>
    <row r="113" spans="1:7" ht="15.6">
      <c r="A113" s="6" t="s">
        <v>930</v>
      </c>
      <c r="B113" s="6" t="s">
        <v>577</v>
      </c>
      <c r="C113" s="7" t="s">
        <v>931</v>
      </c>
      <c r="D113" s="7" t="s">
        <v>932</v>
      </c>
      <c r="E113" s="6" t="s">
        <v>933</v>
      </c>
      <c r="F113" s="7" t="s">
        <v>271</v>
      </c>
      <c r="G113" t="s">
        <v>166</v>
      </c>
    </row>
    <row r="114" spans="1:7" ht="15.6">
      <c r="A114" s="6" t="s">
        <v>934</v>
      </c>
      <c r="B114" s="6" t="s">
        <v>577</v>
      </c>
      <c r="C114" s="7" t="s">
        <v>628</v>
      </c>
      <c r="D114" s="7" t="s">
        <v>935</v>
      </c>
      <c r="E114" s="6" t="s">
        <v>936</v>
      </c>
      <c r="F114" s="7" t="s">
        <v>274</v>
      </c>
      <c r="G114" t="s">
        <v>166</v>
      </c>
    </row>
    <row r="115" spans="1:7" ht="15.6">
      <c r="A115" s="6" t="s">
        <v>937</v>
      </c>
      <c r="B115" s="6" t="s">
        <v>577</v>
      </c>
      <c r="C115" s="7" t="s">
        <v>938</v>
      </c>
      <c r="D115" s="7" t="s">
        <v>939</v>
      </c>
      <c r="E115" s="6" t="s">
        <v>723</v>
      </c>
      <c r="F115" s="7" t="s">
        <v>550</v>
      </c>
      <c r="G115" t="s">
        <v>203</v>
      </c>
    </row>
    <row r="116" spans="1:7" ht="15.6">
      <c r="A116" s="6" t="s">
        <v>940</v>
      </c>
      <c r="B116" s="6" t="s">
        <v>577</v>
      </c>
      <c r="C116" s="7" t="s">
        <v>941</v>
      </c>
      <c r="D116" s="7" t="s">
        <v>942</v>
      </c>
      <c r="E116" s="6" t="s">
        <v>844</v>
      </c>
      <c r="F116" s="7" t="s">
        <v>277</v>
      </c>
      <c r="G116" t="s">
        <v>166</v>
      </c>
    </row>
    <row r="117" spans="1:7" ht="15.6">
      <c r="A117" s="6" t="s">
        <v>943</v>
      </c>
      <c r="B117" s="6" t="s">
        <v>577</v>
      </c>
      <c r="C117" s="7" t="s">
        <v>944</v>
      </c>
      <c r="D117" s="7" t="s">
        <v>945</v>
      </c>
      <c r="E117" s="6" t="s">
        <v>844</v>
      </c>
      <c r="F117" s="7" t="s">
        <v>277</v>
      </c>
      <c r="G117" t="s">
        <v>166</v>
      </c>
    </row>
    <row r="118" spans="1:7" ht="15.6">
      <c r="A118" s="6" t="s">
        <v>946</v>
      </c>
      <c r="B118" s="6" t="s">
        <v>577</v>
      </c>
      <c r="C118" s="7" t="s">
        <v>947</v>
      </c>
      <c r="D118" s="7" t="s">
        <v>948</v>
      </c>
      <c r="E118" s="6" t="s">
        <v>856</v>
      </c>
      <c r="F118" s="7" t="s">
        <v>283</v>
      </c>
      <c r="G118" t="s">
        <v>166</v>
      </c>
    </row>
    <row r="119" spans="1:7" ht="15.6">
      <c r="A119" s="6" t="s">
        <v>949</v>
      </c>
      <c r="B119" s="6" t="s">
        <v>577</v>
      </c>
      <c r="C119" s="7" t="s">
        <v>950</v>
      </c>
      <c r="D119" s="7" t="s">
        <v>951</v>
      </c>
      <c r="E119" s="6" t="s">
        <v>723</v>
      </c>
      <c r="F119" s="7" t="s">
        <v>284</v>
      </c>
      <c r="G119" t="s">
        <v>166</v>
      </c>
    </row>
    <row r="120" spans="1:7" ht="15.6">
      <c r="A120" s="6" t="s">
        <v>952</v>
      </c>
      <c r="B120" s="6" t="s">
        <v>577</v>
      </c>
      <c r="C120" s="7" t="s">
        <v>953</v>
      </c>
      <c r="D120" s="7" t="s">
        <v>954</v>
      </c>
      <c r="E120" s="6" t="s">
        <v>723</v>
      </c>
      <c r="F120" s="7" t="s">
        <v>284</v>
      </c>
      <c r="G120" t="s">
        <v>166</v>
      </c>
    </row>
    <row r="121" spans="1:7" ht="15.6">
      <c r="A121" s="6" t="s">
        <v>955</v>
      </c>
      <c r="B121" s="6" t="s">
        <v>577</v>
      </c>
      <c r="C121" s="7" t="s">
        <v>956</v>
      </c>
      <c r="D121" s="7" t="s">
        <v>957</v>
      </c>
      <c r="E121" s="6" t="s">
        <v>723</v>
      </c>
      <c r="F121" s="7" t="s">
        <v>284</v>
      </c>
      <c r="G121" t="s">
        <v>166</v>
      </c>
    </row>
    <row r="122" spans="1:7" ht="15.6">
      <c r="A122" s="6" t="s">
        <v>958</v>
      </c>
      <c r="B122" s="6" t="s">
        <v>577</v>
      </c>
      <c r="C122" s="7" t="s">
        <v>956</v>
      </c>
      <c r="D122" s="7" t="s">
        <v>959</v>
      </c>
      <c r="E122" s="6" t="s">
        <v>723</v>
      </c>
      <c r="F122" s="7" t="s">
        <v>284</v>
      </c>
      <c r="G122" t="s">
        <v>166</v>
      </c>
    </row>
    <row r="123" spans="1:7" ht="15.6">
      <c r="A123" s="6" t="s">
        <v>960</v>
      </c>
      <c r="B123" s="6" t="s">
        <v>577</v>
      </c>
      <c r="C123" s="7" t="s">
        <v>961</v>
      </c>
      <c r="D123" s="7" t="s">
        <v>962</v>
      </c>
      <c r="E123" s="6" t="s">
        <v>963</v>
      </c>
      <c r="F123" s="7" t="s">
        <v>285</v>
      </c>
      <c r="G123" t="s">
        <v>166</v>
      </c>
    </row>
    <row r="124" spans="1:7" ht="15.6">
      <c r="A124" s="6" t="s">
        <v>964</v>
      </c>
      <c r="B124" s="6" t="s">
        <v>577</v>
      </c>
      <c r="C124" s="7" t="s">
        <v>965</v>
      </c>
      <c r="D124" s="7" t="s">
        <v>966</v>
      </c>
      <c r="E124" s="6" t="s">
        <v>591</v>
      </c>
      <c r="F124" s="7" t="s">
        <v>286</v>
      </c>
      <c r="G124" t="s">
        <v>166</v>
      </c>
    </row>
    <row r="125" spans="1:7" ht="15.6">
      <c r="A125" s="6" t="s">
        <v>967</v>
      </c>
      <c r="B125" s="6" t="s">
        <v>577</v>
      </c>
      <c r="C125" s="7" t="s">
        <v>968</v>
      </c>
      <c r="D125" s="7" t="s">
        <v>969</v>
      </c>
      <c r="E125" s="6" t="s">
        <v>591</v>
      </c>
      <c r="F125" s="7" t="s">
        <v>286</v>
      </c>
      <c r="G125" t="s">
        <v>166</v>
      </c>
    </row>
    <row r="126" spans="1:7" ht="15.6">
      <c r="A126" s="6" t="s">
        <v>970</v>
      </c>
      <c r="B126" s="6" t="s">
        <v>577</v>
      </c>
      <c r="C126" s="7" t="s">
        <v>971</v>
      </c>
      <c r="D126" s="7" t="s">
        <v>972</v>
      </c>
      <c r="E126" s="6" t="s">
        <v>591</v>
      </c>
      <c r="F126" s="7" t="s">
        <v>286</v>
      </c>
      <c r="G126" t="s">
        <v>166</v>
      </c>
    </row>
    <row r="127" spans="1:7" ht="15.6">
      <c r="A127" s="6" t="s">
        <v>973</v>
      </c>
      <c r="B127" s="6" t="s">
        <v>577</v>
      </c>
      <c r="C127" s="7" t="s">
        <v>974</v>
      </c>
      <c r="D127" s="7" t="s">
        <v>975</v>
      </c>
      <c r="E127" s="6" t="s">
        <v>591</v>
      </c>
      <c r="F127" s="7" t="s">
        <v>286</v>
      </c>
      <c r="G127" t="s">
        <v>166</v>
      </c>
    </row>
    <row r="128" spans="1:7" ht="15.6">
      <c r="A128" s="6" t="s">
        <v>976</v>
      </c>
      <c r="B128" s="6" t="s">
        <v>577</v>
      </c>
      <c r="C128" s="7" t="s">
        <v>977</v>
      </c>
      <c r="D128" s="7" t="s">
        <v>978</v>
      </c>
      <c r="E128" s="6" t="s">
        <v>591</v>
      </c>
      <c r="F128" s="7" t="s">
        <v>287</v>
      </c>
      <c r="G128" t="s">
        <v>166</v>
      </c>
    </row>
    <row r="129" spans="1:7" ht="15.6">
      <c r="A129" s="6" t="s">
        <v>979</v>
      </c>
      <c r="B129" s="6" t="s">
        <v>577</v>
      </c>
      <c r="C129" s="7" t="s">
        <v>980</v>
      </c>
      <c r="D129" s="7" t="s">
        <v>981</v>
      </c>
      <c r="E129" s="6" t="s">
        <v>982</v>
      </c>
      <c r="F129" s="7" t="s">
        <v>551</v>
      </c>
      <c r="G129" t="s">
        <v>203</v>
      </c>
    </row>
    <row r="130" spans="1:7" ht="15.6">
      <c r="A130" s="6" t="s">
        <v>983</v>
      </c>
      <c r="B130" s="6" t="s">
        <v>577</v>
      </c>
      <c r="C130" s="7" t="s">
        <v>984</v>
      </c>
      <c r="D130" s="7" t="s">
        <v>985</v>
      </c>
      <c r="E130" s="6" t="s">
        <v>986</v>
      </c>
      <c r="F130" s="7" t="s">
        <v>288</v>
      </c>
      <c r="G130" t="s">
        <v>166</v>
      </c>
    </row>
    <row r="131" spans="1:7" ht="15.6">
      <c r="A131" s="6" t="s">
        <v>987</v>
      </c>
      <c r="B131" s="6" t="s">
        <v>577</v>
      </c>
      <c r="C131" s="7" t="s">
        <v>988</v>
      </c>
      <c r="D131" s="7" t="s">
        <v>989</v>
      </c>
      <c r="E131" s="6" t="s">
        <v>723</v>
      </c>
      <c r="F131" s="7" t="s">
        <v>291</v>
      </c>
      <c r="G131" t="s">
        <v>166</v>
      </c>
    </row>
    <row r="132" spans="1:7" ht="15.6">
      <c r="A132" s="6" t="s">
        <v>952</v>
      </c>
      <c r="B132" s="6" t="s">
        <v>577</v>
      </c>
      <c r="C132" s="7" t="s">
        <v>990</v>
      </c>
      <c r="D132" s="7" t="s">
        <v>954</v>
      </c>
      <c r="E132" s="6" t="s">
        <v>723</v>
      </c>
      <c r="F132" s="7" t="s">
        <v>291</v>
      </c>
      <c r="G132" t="s">
        <v>166</v>
      </c>
    </row>
    <row r="133" spans="1:7" ht="15.6">
      <c r="A133" s="6" t="s">
        <v>991</v>
      </c>
      <c r="B133" s="6" t="s">
        <v>577</v>
      </c>
      <c r="C133" s="7" t="s">
        <v>992</v>
      </c>
      <c r="D133" s="7" t="s">
        <v>993</v>
      </c>
      <c r="E133" s="6" t="s">
        <v>994</v>
      </c>
      <c r="F133" s="7" t="s">
        <v>374</v>
      </c>
      <c r="G133" t="s">
        <v>173</v>
      </c>
    </row>
    <row r="134" spans="1:7" ht="15.6">
      <c r="A134" s="6" t="s">
        <v>995</v>
      </c>
      <c r="B134" s="6" t="s">
        <v>577</v>
      </c>
      <c r="C134" s="7" t="s">
        <v>996</v>
      </c>
      <c r="D134" s="7" t="s">
        <v>997</v>
      </c>
      <c r="E134" s="6" t="s">
        <v>998</v>
      </c>
      <c r="F134" s="7" t="s">
        <v>294</v>
      </c>
      <c r="G134" t="s">
        <v>166</v>
      </c>
    </row>
    <row r="135" spans="1:7" ht="15.6">
      <c r="A135" s="6" t="s">
        <v>999</v>
      </c>
      <c r="B135" s="6" t="s">
        <v>577</v>
      </c>
      <c r="C135" s="7" t="s">
        <v>1000</v>
      </c>
      <c r="D135" s="7" t="s">
        <v>1001</v>
      </c>
      <c r="E135" s="6" t="s">
        <v>998</v>
      </c>
      <c r="F135" s="7" t="s">
        <v>294</v>
      </c>
      <c r="G135" t="s">
        <v>166</v>
      </c>
    </row>
    <row r="136" spans="1:7" ht="15.6">
      <c r="A136" s="6" t="s">
        <v>1002</v>
      </c>
      <c r="B136" s="6" t="s">
        <v>577</v>
      </c>
      <c r="C136" s="7" t="s">
        <v>1003</v>
      </c>
      <c r="D136" s="7" t="s">
        <v>1004</v>
      </c>
      <c r="E136" s="6" t="s">
        <v>998</v>
      </c>
      <c r="F136" s="7" t="s">
        <v>294</v>
      </c>
      <c r="G136" t="s">
        <v>166</v>
      </c>
    </row>
    <row r="137" spans="1:7" ht="15.6">
      <c r="A137" s="6" t="s">
        <v>1005</v>
      </c>
      <c r="B137" s="6" t="s">
        <v>577</v>
      </c>
      <c r="C137" s="7" t="s">
        <v>628</v>
      </c>
      <c r="D137" s="7" t="s">
        <v>1006</v>
      </c>
      <c r="E137" s="6" t="s">
        <v>998</v>
      </c>
      <c r="F137" s="7" t="s">
        <v>294</v>
      </c>
      <c r="G137" t="s">
        <v>166</v>
      </c>
    </row>
    <row r="138" spans="1:7" ht="15.6">
      <c r="A138" s="6" t="s">
        <v>1007</v>
      </c>
      <c r="B138" s="6" t="s">
        <v>577</v>
      </c>
      <c r="C138" s="7" t="s">
        <v>1008</v>
      </c>
      <c r="D138" s="7" t="s">
        <v>1009</v>
      </c>
      <c r="E138" s="6" t="s">
        <v>998</v>
      </c>
      <c r="F138" s="7" t="s">
        <v>294</v>
      </c>
      <c r="G138" t="s">
        <v>166</v>
      </c>
    </row>
    <row r="139" spans="1:7" ht="15.6">
      <c r="A139" s="6" t="s">
        <v>1010</v>
      </c>
      <c r="B139" s="6" t="s">
        <v>577</v>
      </c>
      <c r="C139" s="7" t="s">
        <v>1011</v>
      </c>
      <c r="D139" s="7" t="s">
        <v>1012</v>
      </c>
      <c r="E139" s="6" t="s">
        <v>998</v>
      </c>
      <c r="F139" s="7" t="s">
        <v>294</v>
      </c>
      <c r="G139" t="s">
        <v>166</v>
      </c>
    </row>
    <row r="140" spans="1:7" ht="15.6">
      <c r="A140" s="6" t="s">
        <v>1013</v>
      </c>
      <c r="B140" s="6" t="s">
        <v>577</v>
      </c>
      <c r="C140" s="7" t="s">
        <v>1014</v>
      </c>
      <c r="D140" s="7" t="s">
        <v>1015</v>
      </c>
      <c r="E140" s="6" t="s">
        <v>998</v>
      </c>
      <c r="F140" s="7" t="s">
        <v>294</v>
      </c>
      <c r="G140" t="s">
        <v>166</v>
      </c>
    </row>
    <row r="141" spans="1:7" ht="15.6">
      <c r="A141" s="6" t="s">
        <v>1016</v>
      </c>
      <c r="B141" s="6" t="s">
        <v>577</v>
      </c>
      <c r="C141" s="7" t="s">
        <v>1017</v>
      </c>
      <c r="D141" s="7" t="s">
        <v>1018</v>
      </c>
      <c r="E141" s="6" t="s">
        <v>998</v>
      </c>
      <c r="F141" s="7" t="s">
        <v>294</v>
      </c>
      <c r="G141" t="s">
        <v>166</v>
      </c>
    </row>
    <row r="142" spans="1:7" ht="15.6">
      <c r="A142" s="6" t="s">
        <v>1019</v>
      </c>
      <c r="B142" s="6" t="s">
        <v>577</v>
      </c>
      <c r="C142" s="7" t="s">
        <v>1020</v>
      </c>
      <c r="D142" s="7" t="s">
        <v>1021</v>
      </c>
      <c r="E142" s="6" t="s">
        <v>998</v>
      </c>
      <c r="F142" s="7" t="s">
        <v>294</v>
      </c>
      <c r="G142" t="s">
        <v>166</v>
      </c>
    </row>
    <row r="143" spans="1:7" ht="15.6">
      <c r="A143" s="6" t="s">
        <v>1022</v>
      </c>
      <c r="B143" s="6" t="s">
        <v>577</v>
      </c>
      <c r="C143" s="7" t="s">
        <v>1023</v>
      </c>
      <c r="D143" s="7" t="s">
        <v>1024</v>
      </c>
      <c r="E143" s="6" t="s">
        <v>998</v>
      </c>
      <c r="F143" s="7" t="s">
        <v>294</v>
      </c>
      <c r="G143" t="s">
        <v>166</v>
      </c>
    </row>
    <row r="144" spans="1:7" ht="15.6">
      <c r="A144" s="6" t="s">
        <v>1025</v>
      </c>
      <c r="B144" s="6" t="s">
        <v>651</v>
      </c>
      <c r="C144" s="7" t="s">
        <v>1026</v>
      </c>
      <c r="D144" s="7" t="s">
        <v>1027</v>
      </c>
      <c r="E144" s="6" t="s">
        <v>998</v>
      </c>
      <c r="F144" s="7" t="s">
        <v>294</v>
      </c>
      <c r="G144" t="s">
        <v>166</v>
      </c>
    </row>
    <row r="145" spans="1:7" ht="15.6">
      <c r="A145" s="6" t="s">
        <v>1028</v>
      </c>
      <c r="B145" s="6" t="s">
        <v>577</v>
      </c>
      <c r="C145" s="7" t="s">
        <v>1029</v>
      </c>
      <c r="D145" s="7" t="s">
        <v>1030</v>
      </c>
      <c r="E145" s="6" t="s">
        <v>998</v>
      </c>
      <c r="F145" s="7" t="s">
        <v>294</v>
      </c>
      <c r="G145" t="s">
        <v>166</v>
      </c>
    </row>
    <row r="146" spans="1:7" ht="15.6">
      <c r="A146" s="6" t="s">
        <v>1031</v>
      </c>
      <c r="B146" s="6" t="s">
        <v>577</v>
      </c>
      <c r="C146" s="7" t="s">
        <v>1032</v>
      </c>
      <c r="D146" s="7" t="s">
        <v>1033</v>
      </c>
      <c r="E146" s="6" t="s">
        <v>998</v>
      </c>
      <c r="F146" s="7" t="s">
        <v>294</v>
      </c>
      <c r="G146" t="s">
        <v>166</v>
      </c>
    </row>
    <row r="147" spans="1:7" ht="15.6">
      <c r="A147" s="6" t="s">
        <v>1034</v>
      </c>
      <c r="B147" s="6" t="s">
        <v>577</v>
      </c>
      <c r="C147" s="7" t="s">
        <v>1032</v>
      </c>
      <c r="D147" s="7" t="s">
        <v>1035</v>
      </c>
      <c r="E147" s="6" t="s">
        <v>998</v>
      </c>
      <c r="F147" s="7" t="s">
        <v>294</v>
      </c>
      <c r="G147" t="s">
        <v>166</v>
      </c>
    </row>
    <row r="148" spans="1:7" ht="15.6">
      <c r="A148" s="6" t="s">
        <v>1036</v>
      </c>
      <c r="B148" s="6" t="s">
        <v>577</v>
      </c>
      <c r="C148" s="7" t="s">
        <v>1037</v>
      </c>
      <c r="D148" s="7" t="s">
        <v>1038</v>
      </c>
      <c r="E148" s="6" t="s">
        <v>591</v>
      </c>
      <c r="F148" s="7" t="s">
        <v>295</v>
      </c>
      <c r="G148" t="s">
        <v>166</v>
      </c>
    </row>
    <row r="149" spans="1:7" ht="15.6">
      <c r="A149" s="6" t="s">
        <v>1039</v>
      </c>
      <c r="B149" s="6" t="s">
        <v>577</v>
      </c>
      <c r="C149" s="7" t="s">
        <v>1040</v>
      </c>
      <c r="D149" s="7" t="s">
        <v>1041</v>
      </c>
      <c r="E149" s="6" t="s">
        <v>591</v>
      </c>
      <c r="F149" s="7" t="s">
        <v>430</v>
      </c>
      <c r="G149" t="s">
        <v>191</v>
      </c>
    </row>
    <row r="150" spans="1:7" ht="15.6">
      <c r="A150" s="6" t="s">
        <v>1042</v>
      </c>
      <c r="B150" s="6" t="s">
        <v>577</v>
      </c>
      <c r="C150" s="7" t="s">
        <v>628</v>
      </c>
      <c r="D150" s="7" t="s">
        <v>1043</v>
      </c>
      <c r="E150" s="6" t="s">
        <v>1044</v>
      </c>
      <c r="F150" s="7" t="s">
        <v>297</v>
      </c>
      <c r="G150" t="s">
        <v>166</v>
      </c>
    </row>
    <row r="151" spans="1:7" ht="15.6">
      <c r="A151" s="6" t="s">
        <v>1045</v>
      </c>
      <c r="B151" s="6" t="s">
        <v>577</v>
      </c>
      <c r="C151" s="7" t="s">
        <v>628</v>
      </c>
      <c r="D151" s="7" t="s">
        <v>1046</v>
      </c>
      <c r="E151" s="6" t="s">
        <v>986</v>
      </c>
      <c r="F151" s="7" t="s">
        <v>431</v>
      </c>
      <c r="G151" t="s">
        <v>191</v>
      </c>
    </row>
    <row r="152" spans="1:7" ht="15.6">
      <c r="A152" s="6" t="s">
        <v>1047</v>
      </c>
      <c r="B152" s="6" t="s">
        <v>577</v>
      </c>
      <c r="C152" s="7" t="s">
        <v>1048</v>
      </c>
      <c r="D152" s="7" t="s">
        <v>1049</v>
      </c>
      <c r="E152" s="6" t="s">
        <v>1050</v>
      </c>
      <c r="F152" s="7" t="s">
        <v>432</v>
      </c>
      <c r="G152" t="s">
        <v>191</v>
      </c>
    </row>
    <row r="153" spans="1:7" ht="15.6">
      <c r="A153" s="6" t="s">
        <v>1051</v>
      </c>
      <c r="B153" s="6" t="s">
        <v>577</v>
      </c>
      <c r="C153" s="7" t="s">
        <v>1052</v>
      </c>
      <c r="D153" s="7" t="s">
        <v>1053</v>
      </c>
      <c r="E153" s="6" t="s">
        <v>1050</v>
      </c>
      <c r="F153" s="7" t="s">
        <v>432</v>
      </c>
      <c r="G153" t="s">
        <v>191</v>
      </c>
    </row>
    <row r="154" spans="1:7" ht="15.6">
      <c r="A154" s="6" t="s">
        <v>1054</v>
      </c>
      <c r="B154" s="6" t="s">
        <v>577</v>
      </c>
      <c r="C154" s="7" t="s">
        <v>628</v>
      </c>
      <c r="D154" s="7" t="s">
        <v>1055</v>
      </c>
      <c r="E154" s="6" t="s">
        <v>1056</v>
      </c>
      <c r="F154" s="7" t="s">
        <v>433</v>
      </c>
      <c r="G154" t="s">
        <v>191</v>
      </c>
    </row>
    <row r="155" spans="1:7" ht="15.6">
      <c r="A155" s="6" t="s">
        <v>1057</v>
      </c>
      <c r="B155" s="6" t="s">
        <v>577</v>
      </c>
      <c r="C155" s="7" t="s">
        <v>1058</v>
      </c>
      <c r="D155" s="7" t="s">
        <v>1059</v>
      </c>
      <c r="E155" s="6" t="s">
        <v>986</v>
      </c>
      <c r="F155" s="7" t="s">
        <v>521</v>
      </c>
      <c r="G155" t="s">
        <v>206</v>
      </c>
    </row>
    <row r="156" spans="1:7" ht="15.6">
      <c r="A156" s="6" t="s">
        <v>1060</v>
      </c>
      <c r="B156" s="6" t="s">
        <v>577</v>
      </c>
      <c r="C156" s="7" t="s">
        <v>1061</v>
      </c>
      <c r="D156" s="7" t="s">
        <v>1062</v>
      </c>
      <c r="E156" s="6" t="s">
        <v>856</v>
      </c>
      <c r="F156" s="7" t="s">
        <v>522</v>
      </c>
      <c r="G156" t="s">
        <v>206</v>
      </c>
    </row>
    <row r="157" spans="1:7" ht="15.6">
      <c r="A157" s="6" t="s">
        <v>1063</v>
      </c>
      <c r="B157" s="6" t="s">
        <v>577</v>
      </c>
      <c r="C157" s="7" t="s">
        <v>1064</v>
      </c>
      <c r="D157" s="7" t="s">
        <v>1065</v>
      </c>
      <c r="E157" s="6" t="s">
        <v>844</v>
      </c>
      <c r="F157" s="7" t="s">
        <v>523</v>
      </c>
      <c r="G157" t="s">
        <v>206</v>
      </c>
    </row>
    <row r="158" spans="1:7" ht="15.6">
      <c r="A158" s="6" t="s">
        <v>1066</v>
      </c>
      <c r="B158" s="6" t="s">
        <v>577</v>
      </c>
      <c r="C158" s="7" t="s">
        <v>1067</v>
      </c>
      <c r="D158" s="7" t="s">
        <v>1068</v>
      </c>
      <c r="E158" s="6" t="s">
        <v>1069</v>
      </c>
      <c r="F158" s="7" t="s">
        <v>434</v>
      </c>
      <c r="G158" t="s">
        <v>191</v>
      </c>
    </row>
    <row r="159" spans="1:7" ht="15.6">
      <c r="A159" s="6" t="s">
        <v>1070</v>
      </c>
      <c r="B159" s="6" t="s">
        <v>577</v>
      </c>
      <c r="C159" s="7" t="s">
        <v>1071</v>
      </c>
      <c r="D159" s="7" t="s">
        <v>1072</v>
      </c>
      <c r="E159" s="6" t="s">
        <v>1073</v>
      </c>
      <c r="F159" s="7" t="s">
        <v>524</v>
      </c>
      <c r="G159" t="s">
        <v>206</v>
      </c>
    </row>
    <row r="160" spans="1:7" ht="15.6">
      <c r="A160" s="6" t="s">
        <v>1074</v>
      </c>
      <c r="B160" s="6" t="s">
        <v>577</v>
      </c>
      <c r="C160" s="7" t="s">
        <v>1075</v>
      </c>
      <c r="D160" s="7" t="s">
        <v>1076</v>
      </c>
      <c r="E160" s="6" t="s">
        <v>1073</v>
      </c>
      <c r="F160" s="7" t="s">
        <v>524</v>
      </c>
      <c r="G160" t="s">
        <v>206</v>
      </c>
    </row>
    <row r="161" spans="1:7" ht="15.6">
      <c r="A161" s="6" t="s">
        <v>1077</v>
      </c>
      <c r="B161" s="6" t="s">
        <v>577</v>
      </c>
      <c r="C161" s="7" t="s">
        <v>1075</v>
      </c>
      <c r="D161" s="7" t="s">
        <v>1078</v>
      </c>
      <c r="E161" s="6" t="s">
        <v>1073</v>
      </c>
      <c r="F161" s="7" t="s">
        <v>524</v>
      </c>
      <c r="G161" t="s">
        <v>206</v>
      </c>
    </row>
    <row r="162" spans="1:7" ht="15.6">
      <c r="A162" s="6" t="s">
        <v>1079</v>
      </c>
      <c r="B162" s="6" t="s">
        <v>577</v>
      </c>
      <c r="C162" s="7" t="s">
        <v>1080</v>
      </c>
      <c r="D162" s="7" t="s">
        <v>1081</v>
      </c>
      <c r="E162" s="6" t="s">
        <v>1073</v>
      </c>
      <c r="F162" s="7" t="s">
        <v>524</v>
      </c>
      <c r="G162" t="s">
        <v>206</v>
      </c>
    </row>
    <row r="163" spans="1:7" ht="15.6">
      <c r="A163" s="6" t="s">
        <v>1082</v>
      </c>
      <c r="B163" s="6" t="s">
        <v>577</v>
      </c>
      <c r="C163" s="7" t="s">
        <v>1083</v>
      </c>
      <c r="D163" s="7" t="s">
        <v>1084</v>
      </c>
      <c r="E163" s="6" t="s">
        <v>1073</v>
      </c>
      <c r="F163" s="7" t="s">
        <v>524</v>
      </c>
      <c r="G163" t="s">
        <v>206</v>
      </c>
    </row>
    <row r="164" spans="1:7" ht="15.6">
      <c r="A164" s="6" t="s">
        <v>1085</v>
      </c>
      <c r="B164" s="6" t="s">
        <v>577</v>
      </c>
      <c r="C164" s="7" t="s">
        <v>1075</v>
      </c>
      <c r="D164" s="7" t="s">
        <v>1086</v>
      </c>
      <c r="E164" s="6" t="s">
        <v>1073</v>
      </c>
      <c r="F164" s="7" t="s">
        <v>524</v>
      </c>
      <c r="G164" t="s">
        <v>206</v>
      </c>
    </row>
    <row r="165" spans="1:7" ht="15.6">
      <c r="A165" s="6" t="s">
        <v>1087</v>
      </c>
      <c r="B165" s="6" t="s">
        <v>577</v>
      </c>
      <c r="C165" s="7" t="s">
        <v>1088</v>
      </c>
      <c r="D165" s="7" t="s">
        <v>1089</v>
      </c>
      <c r="E165" s="6" t="s">
        <v>671</v>
      </c>
      <c r="F165" s="7" t="s">
        <v>435</v>
      </c>
      <c r="G165" t="s">
        <v>191</v>
      </c>
    </row>
    <row r="166" spans="1:7" ht="15.6">
      <c r="A166" s="6" t="s">
        <v>837</v>
      </c>
      <c r="B166" s="6" t="s">
        <v>577</v>
      </c>
      <c r="C166" s="7" t="s">
        <v>1090</v>
      </c>
      <c r="D166" s="7" t="s">
        <v>1091</v>
      </c>
      <c r="E166" s="6" t="s">
        <v>1092</v>
      </c>
      <c r="F166" s="7" t="s">
        <v>298</v>
      </c>
      <c r="G166" t="s">
        <v>166</v>
      </c>
    </row>
    <row r="167" spans="1:7" ht="15.6">
      <c r="A167" s="6" t="s">
        <v>1093</v>
      </c>
      <c r="B167" s="6" t="s">
        <v>577</v>
      </c>
      <c r="C167" s="7" t="s">
        <v>1094</v>
      </c>
      <c r="D167" s="7" t="s">
        <v>1095</v>
      </c>
      <c r="E167" s="6" t="s">
        <v>591</v>
      </c>
      <c r="F167" s="7" t="s">
        <v>299</v>
      </c>
      <c r="G167" t="s">
        <v>166</v>
      </c>
    </row>
    <row r="168" spans="1:7" ht="15.6">
      <c r="A168" s="6" t="s">
        <v>1096</v>
      </c>
      <c r="B168" s="6" t="s">
        <v>577</v>
      </c>
      <c r="C168" s="7" t="s">
        <v>1097</v>
      </c>
      <c r="D168" s="7" t="s">
        <v>1098</v>
      </c>
      <c r="E168" s="6" t="s">
        <v>591</v>
      </c>
      <c r="F168" s="7" t="s">
        <v>300</v>
      </c>
      <c r="G168" t="s">
        <v>166</v>
      </c>
    </row>
    <row r="169" spans="1:7" ht="15.6">
      <c r="A169" s="6" t="s">
        <v>1099</v>
      </c>
      <c r="B169" s="6" t="s">
        <v>577</v>
      </c>
      <c r="C169" s="7" t="s">
        <v>1100</v>
      </c>
      <c r="D169" s="7" t="s">
        <v>1101</v>
      </c>
      <c r="E169" s="6" t="s">
        <v>840</v>
      </c>
      <c r="F169" s="7" t="s">
        <v>436</v>
      </c>
      <c r="G169" t="s">
        <v>191</v>
      </c>
    </row>
    <row r="170" spans="1:7" ht="15.6">
      <c r="A170" s="6" t="s">
        <v>1102</v>
      </c>
      <c r="B170" s="6" t="s">
        <v>577</v>
      </c>
      <c r="C170" s="7" t="s">
        <v>1103</v>
      </c>
      <c r="D170" s="7" t="s">
        <v>1104</v>
      </c>
      <c r="E170" s="6" t="s">
        <v>840</v>
      </c>
      <c r="F170" s="7" t="s">
        <v>436</v>
      </c>
      <c r="G170" t="s">
        <v>191</v>
      </c>
    </row>
    <row r="171" spans="1:7" ht="15.6">
      <c r="A171" s="6" t="s">
        <v>1105</v>
      </c>
      <c r="B171" s="6" t="s">
        <v>577</v>
      </c>
      <c r="C171" s="7" t="s">
        <v>1106</v>
      </c>
      <c r="D171" s="7" t="s">
        <v>1107</v>
      </c>
      <c r="E171" s="6" t="s">
        <v>840</v>
      </c>
      <c r="F171" s="7" t="s">
        <v>436</v>
      </c>
      <c r="G171" t="s">
        <v>191</v>
      </c>
    </row>
    <row r="172" spans="1:7" ht="15.6">
      <c r="A172" s="6" t="s">
        <v>1108</v>
      </c>
      <c r="B172" s="6" t="s">
        <v>577</v>
      </c>
      <c r="C172" s="7" t="s">
        <v>1100</v>
      </c>
      <c r="D172" s="7" t="s">
        <v>1109</v>
      </c>
      <c r="E172" s="6" t="s">
        <v>840</v>
      </c>
      <c r="F172" s="7" t="s">
        <v>436</v>
      </c>
      <c r="G172" t="s">
        <v>191</v>
      </c>
    </row>
    <row r="173" spans="1:7" ht="15.6">
      <c r="A173" s="6" t="s">
        <v>1110</v>
      </c>
      <c r="B173" s="6" t="s">
        <v>577</v>
      </c>
      <c r="C173" s="7" t="s">
        <v>628</v>
      </c>
      <c r="D173" s="7" t="s">
        <v>1111</v>
      </c>
      <c r="E173" s="6" t="s">
        <v>1069</v>
      </c>
      <c r="F173" s="7" t="s">
        <v>437</v>
      </c>
      <c r="G173" t="s">
        <v>191</v>
      </c>
    </row>
    <row r="174" spans="1:7" ht="15.6">
      <c r="A174" s="6" t="s">
        <v>1112</v>
      </c>
      <c r="B174" s="6" t="s">
        <v>577</v>
      </c>
      <c r="C174" s="7" t="s">
        <v>1113</v>
      </c>
      <c r="D174" s="7" t="s">
        <v>1068</v>
      </c>
      <c r="E174" s="6" t="s">
        <v>1069</v>
      </c>
      <c r="F174" s="7" t="s">
        <v>437</v>
      </c>
      <c r="G174" t="s">
        <v>191</v>
      </c>
    </row>
    <row r="175" spans="1:7" ht="15.6">
      <c r="A175" s="6" t="s">
        <v>1114</v>
      </c>
      <c r="B175" s="6" t="s">
        <v>577</v>
      </c>
      <c r="C175" s="7" t="s">
        <v>628</v>
      </c>
      <c r="D175" s="7" t="s">
        <v>1115</v>
      </c>
      <c r="E175" s="6" t="s">
        <v>844</v>
      </c>
      <c r="F175" s="7" t="s">
        <v>438</v>
      </c>
      <c r="G175" t="s">
        <v>191</v>
      </c>
    </row>
    <row r="176" spans="1:7" ht="15.6">
      <c r="A176" s="6" t="s">
        <v>1116</v>
      </c>
      <c r="B176" s="6" t="s">
        <v>577</v>
      </c>
      <c r="C176" s="7" t="s">
        <v>1117</v>
      </c>
      <c r="D176" s="7" t="s">
        <v>1118</v>
      </c>
      <c r="E176" s="6" t="s">
        <v>844</v>
      </c>
      <c r="F176" s="7" t="s">
        <v>301</v>
      </c>
      <c r="G176" t="s">
        <v>166</v>
      </c>
    </row>
    <row r="177" spans="1:7" ht="15.6">
      <c r="A177" s="6" t="s">
        <v>1119</v>
      </c>
      <c r="B177" s="6" t="s">
        <v>577</v>
      </c>
      <c r="C177" s="7" t="s">
        <v>1120</v>
      </c>
      <c r="D177" s="7" t="s">
        <v>1121</v>
      </c>
      <c r="E177" s="6" t="s">
        <v>1122</v>
      </c>
      <c r="F177" s="7" t="s">
        <v>302</v>
      </c>
      <c r="G177" t="s">
        <v>166</v>
      </c>
    </row>
    <row r="178" spans="1:7" ht="15.6">
      <c r="A178" s="6" t="s">
        <v>1123</v>
      </c>
      <c r="B178" s="6" t="s">
        <v>577</v>
      </c>
      <c r="C178" s="7" t="s">
        <v>1124</v>
      </c>
      <c r="D178" s="7" t="s">
        <v>1125</v>
      </c>
      <c r="E178" s="6" t="s">
        <v>1122</v>
      </c>
      <c r="F178" s="7" t="s">
        <v>302</v>
      </c>
      <c r="G178" t="s">
        <v>166</v>
      </c>
    </row>
    <row r="179" spans="1:7" ht="15.6">
      <c r="A179" s="6" t="s">
        <v>1126</v>
      </c>
      <c r="B179" s="6" t="s">
        <v>577</v>
      </c>
      <c r="C179" s="7" t="s">
        <v>1127</v>
      </c>
      <c r="D179" s="7" t="s">
        <v>1128</v>
      </c>
      <c r="E179" s="6" t="s">
        <v>1129</v>
      </c>
      <c r="F179" s="7" t="s">
        <v>375</v>
      </c>
      <c r="G179" t="s">
        <v>173</v>
      </c>
    </row>
    <row r="180" spans="1:7" ht="15.6">
      <c r="A180" s="6" t="s">
        <v>1130</v>
      </c>
      <c r="B180" s="6" t="s">
        <v>577</v>
      </c>
      <c r="C180" s="7" t="s">
        <v>628</v>
      </c>
      <c r="D180" s="7" t="s">
        <v>1131</v>
      </c>
      <c r="E180" s="6" t="s">
        <v>905</v>
      </c>
      <c r="F180" s="7" t="s">
        <v>376</v>
      </c>
      <c r="G180" t="s">
        <v>173</v>
      </c>
    </row>
    <row r="181" spans="1:7" ht="15.6">
      <c r="A181" s="6" t="s">
        <v>1132</v>
      </c>
      <c r="B181" s="6" t="s">
        <v>577</v>
      </c>
      <c r="C181" s="7" t="s">
        <v>1133</v>
      </c>
      <c r="D181" s="7" t="s">
        <v>1134</v>
      </c>
      <c r="E181" s="6" t="s">
        <v>905</v>
      </c>
      <c r="F181" s="7" t="s">
        <v>376</v>
      </c>
      <c r="G181" t="s">
        <v>173</v>
      </c>
    </row>
    <row r="182" spans="1:7" ht="15.6">
      <c r="A182" s="6" t="s">
        <v>1135</v>
      </c>
      <c r="B182" s="6" t="s">
        <v>577</v>
      </c>
      <c r="C182" s="7" t="s">
        <v>1136</v>
      </c>
      <c r="D182" s="7" t="s">
        <v>1137</v>
      </c>
      <c r="E182" s="6" t="s">
        <v>591</v>
      </c>
      <c r="F182" s="7" t="s">
        <v>439</v>
      </c>
      <c r="G182" t="s">
        <v>191</v>
      </c>
    </row>
    <row r="183" spans="1:7" ht="15.6">
      <c r="A183" s="6" t="s">
        <v>1138</v>
      </c>
      <c r="B183" s="6" t="s">
        <v>577</v>
      </c>
      <c r="C183" s="7" t="s">
        <v>1139</v>
      </c>
      <c r="D183" s="7" t="s">
        <v>1140</v>
      </c>
      <c r="E183" s="6" t="s">
        <v>1141</v>
      </c>
      <c r="F183" s="7" t="s">
        <v>303</v>
      </c>
      <c r="G183" t="s">
        <v>166</v>
      </c>
    </row>
    <row r="184" spans="1:7" ht="15.6">
      <c r="A184" s="6" t="s">
        <v>1142</v>
      </c>
      <c r="B184" s="6" t="s">
        <v>577</v>
      </c>
      <c r="C184" s="7" t="s">
        <v>1143</v>
      </c>
      <c r="D184" s="7" t="s">
        <v>1144</v>
      </c>
      <c r="E184" s="6" t="s">
        <v>844</v>
      </c>
      <c r="F184" s="7" t="s">
        <v>440</v>
      </c>
      <c r="G184" t="s">
        <v>191</v>
      </c>
    </row>
    <row r="185" spans="1:7" ht="15.6">
      <c r="A185" s="6" t="s">
        <v>1145</v>
      </c>
      <c r="B185" s="6" t="s">
        <v>577</v>
      </c>
      <c r="C185" s="7" t="s">
        <v>1146</v>
      </c>
      <c r="D185" s="7" t="s">
        <v>1147</v>
      </c>
      <c r="E185" s="6" t="s">
        <v>1148</v>
      </c>
      <c r="F185" s="7" t="s">
        <v>441</v>
      </c>
      <c r="G185" t="s">
        <v>191</v>
      </c>
    </row>
    <row r="186" spans="1:7" ht="15.6">
      <c r="A186" s="6" t="s">
        <v>1149</v>
      </c>
      <c r="B186" s="6" t="s">
        <v>577</v>
      </c>
      <c r="C186" s="7" t="s">
        <v>1150</v>
      </c>
      <c r="D186" s="7" t="s">
        <v>1151</v>
      </c>
      <c r="E186" s="6" t="s">
        <v>844</v>
      </c>
      <c r="F186" s="7" t="s">
        <v>304</v>
      </c>
      <c r="G186" t="s">
        <v>245</v>
      </c>
    </row>
    <row r="187" spans="1:7" ht="15.6">
      <c r="A187" s="6" t="s">
        <v>1152</v>
      </c>
      <c r="B187" s="6" t="s">
        <v>577</v>
      </c>
      <c r="C187" s="7" t="s">
        <v>1153</v>
      </c>
      <c r="D187" s="7" t="s">
        <v>1154</v>
      </c>
      <c r="E187" s="6" t="s">
        <v>1155</v>
      </c>
      <c r="F187" s="7" t="s">
        <v>552</v>
      </c>
      <c r="G187" t="s">
        <v>203</v>
      </c>
    </row>
    <row r="188" spans="1:7" ht="15.6">
      <c r="A188" s="6" t="s">
        <v>1156</v>
      </c>
      <c r="B188" s="6" t="s">
        <v>577</v>
      </c>
      <c r="C188" s="7" t="s">
        <v>1157</v>
      </c>
      <c r="D188" s="7" t="s">
        <v>1158</v>
      </c>
      <c r="E188" s="6"/>
      <c r="F188" s="7" t="s">
        <v>442</v>
      </c>
      <c r="G188" t="s">
        <v>191</v>
      </c>
    </row>
    <row r="189" spans="1:7" ht="15.6">
      <c r="A189" s="6" t="s">
        <v>1159</v>
      </c>
      <c r="B189" s="6" t="s">
        <v>577</v>
      </c>
      <c r="C189" s="7" t="s">
        <v>1160</v>
      </c>
      <c r="D189" s="7" t="s">
        <v>1161</v>
      </c>
      <c r="E189" s="6" t="s">
        <v>844</v>
      </c>
      <c r="F189" s="7" t="s">
        <v>305</v>
      </c>
      <c r="G189" t="s">
        <v>166</v>
      </c>
    </row>
    <row r="190" spans="1:7" ht="15.6">
      <c r="A190" s="6" t="s">
        <v>1162</v>
      </c>
      <c r="B190" s="6" t="s">
        <v>577</v>
      </c>
      <c r="C190" s="7" t="s">
        <v>1163</v>
      </c>
      <c r="D190" s="7" t="s">
        <v>1164</v>
      </c>
      <c r="E190" s="6" t="s">
        <v>1165</v>
      </c>
      <c r="F190" s="7" t="s">
        <v>306</v>
      </c>
      <c r="G190" t="s">
        <v>245</v>
      </c>
    </row>
    <row r="191" spans="1:7" ht="15.6">
      <c r="A191" s="6" t="s">
        <v>1166</v>
      </c>
      <c r="B191" s="6" t="s">
        <v>577</v>
      </c>
      <c r="C191" s="7" t="s">
        <v>1167</v>
      </c>
      <c r="D191" s="7" t="s">
        <v>1168</v>
      </c>
      <c r="E191" s="6" t="s">
        <v>1169</v>
      </c>
      <c r="F191" s="7" t="s">
        <v>553</v>
      </c>
      <c r="G191" t="s">
        <v>203</v>
      </c>
    </row>
    <row r="192" spans="1:7" ht="15.6">
      <c r="A192" s="6" t="s">
        <v>1170</v>
      </c>
      <c r="B192" s="6" t="s">
        <v>651</v>
      </c>
      <c r="C192" s="7" t="s">
        <v>1171</v>
      </c>
      <c r="D192" s="7" t="s">
        <v>1172</v>
      </c>
      <c r="E192" s="6" t="s">
        <v>1169</v>
      </c>
      <c r="F192" s="7" t="s">
        <v>553</v>
      </c>
      <c r="G192" t="s">
        <v>203</v>
      </c>
    </row>
    <row r="193" spans="1:7" ht="15.6">
      <c r="A193" s="6" t="s">
        <v>1173</v>
      </c>
      <c r="B193" s="6" t="s">
        <v>577</v>
      </c>
      <c r="C193" s="7" t="s">
        <v>1174</v>
      </c>
      <c r="D193" s="7" t="s">
        <v>1175</v>
      </c>
      <c r="E193" s="6" t="s">
        <v>844</v>
      </c>
      <c r="F193" s="7" t="s">
        <v>443</v>
      </c>
      <c r="G193" t="s">
        <v>191</v>
      </c>
    </row>
    <row r="194" spans="1:7" ht="15.6">
      <c r="A194" s="6" t="s">
        <v>1176</v>
      </c>
      <c r="B194" s="6" t="s">
        <v>577</v>
      </c>
      <c r="C194" s="7" t="s">
        <v>1177</v>
      </c>
      <c r="D194" s="7" t="s">
        <v>1178</v>
      </c>
      <c r="E194" s="6" t="s">
        <v>844</v>
      </c>
      <c r="F194" s="7" t="s">
        <v>444</v>
      </c>
      <c r="G194" t="s">
        <v>191</v>
      </c>
    </row>
    <row r="195" spans="1:7" ht="15.6">
      <c r="A195" s="6" t="s">
        <v>1179</v>
      </c>
      <c r="B195" s="6" t="s">
        <v>577</v>
      </c>
      <c r="C195" s="7" t="s">
        <v>1180</v>
      </c>
      <c r="D195" s="7" t="s">
        <v>1181</v>
      </c>
      <c r="E195" s="6" t="s">
        <v>1182</v>
      </c>
      <c r="F195" s="7" t="s">
        <v>307</v>
      </c>
      <c r="G195" t="s">
        <v>166</v>
      </c>
    </row>
    <row r="196" spans="1:7" ht="15.6">
      <c r="A196" s="6" t="s">
        <v>1183</v>
      </c>
      <c r="B196" s="6" t="s">
        <v>577</v>
      </c>
      <c r="C196" s="7" t="s">
        <v>1180</v>
      </c>
      <c r="D196" s="7" t="s">
        <v>1184</v>
      </c>
      <c r="E196" s="6" t="s">
        <v>1182</v>
      </c>
      <c r="F196" s="7" t="s">
        <v>307</v>
      </c>
      <c r="G196" t="s">
        <v>166</v>
      </c>
    </row>
    <row r="197" spans="1:7" ht="15.6">
      <c r="A197" s="6" t="s">
        <v>1185</v>
      </c>
      <c r="B197" s="6" t="s">
        <v>577</v>
      </c>
      <c r="C197" s="7" t="s">
        <v>1186</v>
      </c>
      <c r="D197" s="7" t="s">
        <v>1187</v>
      </c>
      <c r="E197" s="6" t="s">
        <v>1182</v>
      </c>
      <c r="F197" s="7" t="s">
        <v>307</v>
      </c>
      <c r="G197" t="s">
        <v>166</v>
      </c>
    </row>
    <row r="198" spans="1:7" ht="15.6">
      <c r="A198" s="6" t="s">
        <v>1188</v>
      </c>
      <c r="B198" s="6" t="s">
        <v>577</v>
      </c>
      <c r="C198" s="7" t="s">
        <v>1180</v>
      </c>
      <c r="D198" s="7" t="s">
        <v>1189</v>
      </c>
      <c r="E198" s="6" t="s">
        <v>1182</v>
      </c>
      <c r="F198" s="7" t="s">
        <v>307</v>
      </c>
      <c r="G198" t="s">
        <v>166</v>
      </c>
    </row>
    <row r="199" spans="1:7" ht="15.6">
      <c r="A199" s="6" t="s">
        <v>1190</v>
      </c>
      <c r="B199" s="6" t="s">
        <v>577</v>
      </c>
      <c r="C199" s="7" t="s">
        <v>1191</v>
      </c>
      <c r="D199" s="7" t="s">
        <v>1192</v>
      </c>
      <c r="E199" s="6" t="s">
        <v>1182</v>
      </c>
      <c r="F199" s="7" t="s">
        <v>307</v>
      </c>
      <c r="G199" t="s">
        <v>166</v>
      </c>
    </row>
    <row r="200" spans="1:7" ht="15.6">
      <c r="A200" s="6" t="s">
        <v>1193</v>
      </c>
      <c r="B200" s="6" t="s">
        <v>651</v>
      </c>
      <c r="C200" s="7" t="s">
        <v>1194</v>
      </c>
      <c r="D200" s="7" t="s">
        <v>1195</v>
      </c>
      <c r="E200" s="6" t="s">
        <v>1182</v>
      </c>
      <c r="F200" s="7" t="s">
        <v>307</v>
      </c>
      <c r="G200" t="s">
        <v>166</v>
      </c>
    </row>
    <row r="201" spans="1:7" ht="15.6">
      <c r="A201" s="6" t="s">
        <v>1196</v>
      </c>
      <c r="B201" s="6" t="s">
        <v>651</v>
      </c>
      <c r="C201" s="7" t="s">
        <v>1197</v>
      </c>
      <c r="D201" s="7" t="s">
        <v>1198</v>
      </c>
      <c r="E201" s="6" t="s">
        <v>1182</v>
      </c>
      <c r="F201" s="7" t="s">
        <v>307</v>
      </c>
      <c r="G201" t="s">
        <v>166</v>
      </c>
    </row>
    <row r="202" spans="1:7" ht="15.6">
      <c r="A202" s="6" t="s">
        <v>1199</v>
      </c>
      <c r="B202" s="6" t="s">
        <v>577</v>
      </c>
      <c r="C202" s="7" t="s">
        <v>628</v>
      </c>
      <c r="D202" s="7" t="s">
        <v>1200</v>
      </c>
      <c r="E202" s="6" t="s">
        <v>1182</v>
      </c>
      <c r="F202" s="7" t="s">
        <v>307</v>
      </c>
      <c r="G202" t="s">
        <v>166</v>
      </c>
    </row>
    <row r="203" spans="1:7" ht="15.6">
      <c r="A203" s="6" t="s">
        <v>1201</v>
      </c>
      <c r="B203" s="6" t="s">
        <v>577</v>
      </c>
      <c r="C203" s="7" t="s">
        <v>1202</v>
      </c>
      <c r="D203" s="7" t="s">
        <v>1203</v>
      </c>
      <c r="E203" s="6" t="s">
        <v>1182</v>
      </c>
      <c r="F203" s="7" t="s">
        <v>307</v>
      </c>
      <c r="G203" t="s">
        <v>166</v>
      </c>
    </row>
    <row r="204" spans="1:7" ht="15.6">
      <c r="A204" s="6" t="s">
        <v>1204</v>
      </c>
      <c r="B204" s="6" t="s">
        <v>577</v>
      </c>
      <c r="C204" s="7" t="s">
        <v>1205</v>
      </c>
      <c r="D204" s="7" t="s">
        <v>1206</v>
      </c>
      <c r="E204" s="6" t="s">
        <v>1182</v>
      </c>
      <c r="F204" s="7" t="s">
        <v>307</v>
      </c>
      <c r="G204" t="s">
        <v>166</v>
      </c>
    </row>
    <row r="205" spans="1:7" ht="15.6">
      <c r="A205" s="6" t="s">
        <v>1207</v>
      </c>
      <c r="B205" s="6" t="s">
        <v>577</v>
      </c>
      <c r="C205" s="7" t="s">
        <v>1208</v>
      </c>
      <c r="D205" s="7" t="s">
        <v>1209</v>
      </c>
      <c r="E205" s="6" t="s">
        <v>1182</v>
      </c>
      <c r="F205" s="7" t="s">
        <v>307</v>
      </c>
      <c r="G205" t="s">
        <v>166</v>
      </c>
    </row>
    <row r="206" spans="1:7" ht="15.6">
      <c r="A206" s="6" t="s">
        <v>1210</v>
      </c>
      <c r="B206" s="6" t="s">
        <v>577</v>
      </c>
      <c r="C206" s="7" t="s">
        <v>628</v>
      </c>
      <c r="D206" s="7" t="s">
        <v>1211</v>
      </c>
      <c r="E206" s="6" t="s">
        <v>1182</v>
      </c>
      <c r="F206" s="7" t="s">
        <v>307</v>
      </c>
      <c r="G206" t="s">
        <v>166</v>
      </c>
    </row>
    <row r="207" spans="1:7" ht="15.6">
      <c r="A207" s="6" t="s">
        <v>1212</v>
      </c>
      <c r="B207" s="6" t="s">
        <v>577</v>
      </c>
      <c r="C207" s="7" t="s">
        <v>1180</v>
      </c>
      <c r="D207" s="7" t="s">
        <v>1213</v>
      </c>
      <c r="E207" s="6" t="s">
        <v>1182</v>
      </c>
      <c r="F207" s="7" t="s">
        <v>307</v>
      </c>
      <c r="G207" t="s">
        <v>166</v>
      </c>
    </row>
    <row r="208" spans="1:7" ht="15.6">
      <c r="A208" s="6" t="s">
        <v>1214</v>
      </c>
      <c r="B208" s="6" t="s">
        <v>577</v>
      </c>
      <c r="C208" s="7" t="s">
        <v>628</v>
      </c>
      <c r="D208" s="7" t="s">
        <v>1215</v>
      </c>
      <c r="E208" s="6" t="s">
        <v>1182</v>
      </c>
      <c r="F208" s="7" t="s">
        <v>307</v>
      </c>
      <c r="G208" t="s">
        <v>166</v>
      </c>
    </row>
    <row r="209" spans="1:7" ht="15.6">
      <c r="A209" s="6" t="s">
        <v>1216</v>
      </c>
      <c r="B209" s="6" t="s">
        <v>651</v>
      </c>
      <c r="C209" s="7" t="s">
        <v>1217</v>
      </c>
      <c r="D209" s="7" t="s">
        <v>1218</v>
      </c>
      <c r="E209" s="6" t="s">
        <v>1182</v>
      </c>
      <c r="F209" s="7" t="s">
        <v>307</v>
      </c>
      <c r="G209" t="s">
        <v>166</v>
      </c>
    </row>
    <row r="210" spans="1:7" ht="15.6">
      <c r="A210" s="6" t="s">
        <v>1219</v>
      </c>
      <c r="B210" s="6" t="s">
        <v>577</v>
      </c>
      <c r="C210" s="7" t="s">
        <v>628</v>
      </c>
      <c r="D210" s="7" t="s">
        <v>1220</v>
      </c>
      <c r="E210" s="6" t="s">
        <v>1182</v>
      </c>
      <c r="F210" s="7" t="s">
        <v>307</v>
      </c>
      <c r="G210" t="s">
        <v>166</v>
      </c>
    </row>
    <row r="211" spans="1:7" ht="15.6">
      <c r="A211" s="6" t="s">
        <v>1221</v>
      </c>
      <c r="B211" s="6" t="s">
        <v>577</v>
      </c>
      <c r="C211" s="7" t="s">
        <v>1222</v>
      </c>
      <c r="D211" s="7" t="s">
        <v>1223</v>
      </c>
      <c r="E211" s="6" t="s">
        <v>1224</v>
      </c>
      <c r="F211" s="7" t="s">
        <v>308</v>
      </c>
      <c r="G211" t="s">
        <v>166</v>
      </c>
    </row>
    <row r="212" spans="1:7" ht="15.6">
      <c r="A212" s="6" t="s">
        <v>1225</v>
      </c>
      <c r="B212" s="6" t="s">
        <v>577</v>
      </c>
      <c r="C212" s="7" t="s">
        <v>1226</v>
      </c>
      <c r="D212" s="7" t="s">
        <v>1227</v>
      </c>
      <c r="E212" s="6" t="s">
        <v>1224</v>
      </c>
      <c r="F212" s="7" t="s">
        <v>308</v>
      </c>
      <c r="G212" t="s">
        <v>166</v>
      </c>
    </row>
    <row r="213" spans="1:7" ht="15.6">
      <c r="A213" s="6" t="s">
        <v>1228</v>
      </c>
      <c r="B213" s="6" t="s">
        <v>577</v>
      </c>
      <c r="C213" s="7" t="s">
        <v>1222</v>
      </c>
      <c r="D213" s="7" t="s">
        <v>1229</v>
      </c>
      <c r="E213" s="6" t="s">
        <v>1224</v>
      </c>
      <c r="F213" s="7" t="s">
        <v>308</v>
      </c>
      <c r="G213" t="s">
        <v>166</v>
      </c>
    </row>
    <row r="214" spans="1:7" ht="15.6">
      <c r="A214" s="6" t="s">
        <v>1230</v>
      </c>
      <c r="B214" s="6" t="s">
        <v>577</v>
      </c>
      <c r="C214" s="7" t="s">
        <v>1231</v>
      </c>
      <c r="D214" s="7" t="s">
        <v>1232</v>
      </c>
      <c r="E214" s="6" t="s">
        <v>1224</v>
      </c>
      <c r="F214" s="7" t="s">
        <v>308</v>
      </c>
      <c r="G214" t="s">
        <v>166</v>
      </c>
    </row>
    <row r="215" spans="1:7" ht="15.6">
      <c r="A215" s="6" t="s">
        <v>1233</v>
      </c>
      <c r="B215" s="6" t="s">
        <v>577</v>
      </c>
      <c r="C215" s="7" t="s">
        <v>1234</v>
      </c>
      <c r="D215" s="7" t="s">
        <v>1235</v>
      </c>
      <c r="E215" s="6" t="s">
        <v>1224</v>
      </c>
      <c r="F215" s="7" t="s">
        <v>308</v>
      </c>
      <c r="G215" t="s">
        <v>166</v>
      </c>
    </row>
    <row r="216" spans="1:7" ht="15.6">
      <c r="A216" s="6" t="s">
        <v>1236</v>
      </c>
      <c r="B216" s="6" t="s">
        <v>577</v>
      </c>
      <c r="C216" s="7" t="s">
        <v>1237</v>
      </c>
      <c r="D216" s="7" t="s">
        <v>1238</v>
      </c>
      <c r="E216" s="6" t="s">
        <v>1224</v>
      </c>
      <c r="F216" s="7" t="s">
        <v>308</v>
      </c>
      <c r="G216" t="s">
        <v>166</v>
      </c>
    </row>
    <row r="217" spans="1:7" ht="15.6">
      <c r="A217" s="6" t="s">
        <v>1239</v>
      </c>
      <c r="B217" s="6" t="s">
        <v>577</v>
      </c>
      <c r="C217" s="7" t="s">
        <v>1240</v>
      </c>
      <c r="D217" s="7" t="s">
        <v>1241</v>
      </c>
      <c r="E217" s="6" t="s">
        <v>727</v>
      </c>
      <c r="F217" s="7" t="s">
        <v>309</v>
      </c>
      <c r="G217" t="s">
        <v>166</v>
      </c>
    </row>
    <row r="218" spans="1:7" ht="15.6">
      <c r="A218" s="6" t="s">
        <v>1242</v>
      </c>
      <c r="B218" s="6" t="s">
        <v>577</v>
      </c>
      <c r="C218" s="7" t="s">
        <v>1243</v>
      </c>
      <c r="D218" s="7" t="s">
        <v>1244</v>
      </c>
      <c r="E218" s="6" t="s">
        <v>1245</v>
      </c>
      <c r="F218" s="7" t="s">
        <v>377</v>
      </c>
      <c r="G218" t="s">
        <v>173</v>
      </c>
    </row>
    <row r="219" spans="1:7" ht="15.6">
      <c r="A219" s="6" t="s">
        <v>1246</v>
      </c>
      <c r="B219" s="6" t="s">
        <v>577</v>
      </c>
      <c r="C219" s="7" t="s">
        <v>1247</v>
      </c>
      <c r="D219" s="7" t="s">
        <v>1248</v>
      </c>
      <c r="E219" s="6" t="s">
        <v>1245</v>
      </c>
      <c r="F219" s="7" t="s">
        <v>377</v>
      </c>
      <c r="G219" t="s">
        <v>173</v>
      </c>
    </row>
    <row r="220" spans="1:7" ht="15.6">
      <c r="A220" s="6" t="s">
        <v>1249</v>
      </c>
      <c r="B220" s="6" t="s">
        <v>577</v>
      </c>
      <c r="C220" s="7" t="s">
        <v>1250</v>
      </c>
      <c r="D220" s="7" t="s">
        <v>1251</v>
      </c>
      <c r="E220" s="6" t="s">
        <v>1245</v>
      </c>
      <c r="F220" s="7" t="s">
        <v>377</v>
      </c>
      <c r="G220" t="s">
        <v>173</v>
      </c>
    </row>
    <row r="221" spans="1:7" ht="15.6">
      <c r="A221" s="6" t="s">
        <v>1252</v>
      </c>
      <c r="B221" s="6" t="s">
        <v>577</v>
      </c>
      <c r="C221" s="7" t="s">
        <v>1250</v>
      </c>
      <c r="D221" s="7" t="s">
        <v>1253</v>
      </c>
      <c r="E221" s="6" t="s">
        <v>1245</v>
      </c>
      <c r="F221" s="7" t="s">
        <v>377</v>
      </c>
      <c r="G221" t="s">
        <v>173</v>
      </c>
    </row>
    <row r="222" spans="1:7" ht="15.6">
      <c r="A222" s="6" t="s">
        <v>1254</v>
      </c>
      <c r="B222" s="6" t="s">
        <v>577</v>
      </c>
      <c r="C222" s="7" t="s">
        <v>1247</v>
      </c>
      <c r="D222" s="7" t="s">
        <v>1255</v>
      </c>
      <c r="E222" s="6" t="s">
        <v>1245</v>
      </c>
      <c r="F222" s="7" t="s">
        <v>377</v>
      </c>
      <c r="G222" t="s">
        <v>173</v>
      </c>
    </row>
    <row r="223" spans="1:7" ht="15.6">
      <c r="A223" s="6" t="s">
        <v>1256</v>
      </c>
      <c r="B223" s="6" t="s">
        <v>577</v>
      </c>
      <c r="C223" s="7" t="s">
        <v>1257</v>
      </c>
      <c r="D223" s="7" t="s">
        <v>1258</v>
      </c>
      <c r="E223" s="6" t="s">
        <v>1245</v>
      </c>
      <c r="F223" s="7" t="s">
        <v>377</v>
      </c>
      <c r="G223" t="s">
        <v>173</v>
      </c>
    </row>
    <row r="224" spans="1:7" ht="15.6">
      <c r="A224" s="6" t="s">
        <v>1259</v>
      </c>
      <c r="B224" s="6" t="s">
        <v>577</v>
      </c>
      <c r="C224" s="7" t="s">
        <v>1260</v>
      </c>
      <c r="D224" s="7" t="s">
        <v>1261</v>
      </c>
      <c r="E224" s="6" t="s">
        <v>1245</v>
      </c>
      <c r="F224" s="7" t="s">
        <v>377</v>
      </c>
      <c r="G224" t="s">
        <v>173</v>
      </c>
    </row>
    <row r="225" spans="1:7" ht="15.6">
      <c r="A225" s="6" t="s">
        <v>1262</v>
      </c>
      <c r="B225" s="6" t="s">
        <v>577</v>
      </c>
      <c r="C225" s="7" t="s">
        <v>1247</v>
      </c>
      <c r="D225" s="7" t="s">
        <v>1263</v>
      </c>
      <c r="E225" s="6" t="s">
        <v>1245</v>
      </c>
      <c r="F225" s="7" t="s">
        <v>377</v>
      </c>
      <c r="G225" t="s">
        <v>173</v>
      </c>
    </row>
    <row r="226" spans="1:7" ht="15.6">
      <c r="A226" s="6" t="s">
        <v>1264</v>
      </c>
      <c r="B226" s="6" t="s">
        <v>577</v>
      </c>
      <c r="C226" s="7" t="s">
        <v>1265</v>
      </c>
      <c r="D226" s="7" t="s">
        <v>1266</v>
      </c>
      <c r="E226" s="6" t="s">
        <v>1267</v>
      </c>
      <c r="F226" s="7" t="s">
        <v>509</v>
      </c>
      <c r="G226" t="s">
        <v>200</v>
      </c>
    </row>
    <row r="227" spans="1:7" ht="15.6">
      <c r="A227" s="6" t="s">
        <v>1268</v>
      </c>
      <c r="B227" s="6" t="s">
        <v>577</v>
      </c>
      <c r="C227" s="7" t="s">
        <v>1269</v>
      </c>
      <c r="D227" s="7" t="s">
        <v>1270</v>
      </c>
      <c r="E227" s="6" t="s">
        <v>1271</v>
      </c>
      <c r="F227" s="7" t="s">
        <v>410</v>
      </c>
      <c r="G227" t="s">
        <v>184</v>
      </c>
    </row>
    <row r="228" spans="1:7" ht="15.6">
      <c r="A228" s="6" t="s">
        <v>1272</v>
      </c>
      <c r="B228" s="6" t="s">
        <v>577</v>
      </c>
      <c r="C228" s="7" t="s">
        <v>1273</v>
      </c>
      <c r="D228" s="7" t="s">
        <v>1274</v>
      </c>
      <c r="E228" s="6" t="s">
        <v>844</v>
      </c>
      <c r="F228" s="7" t="s">
        <v>554</v>
      </c>
      <c r="G228" t="s">
        <v>203</v>
      </c>
    </row>
    <row r="229" spans="1:7" ht="15.6">
      <c r="A229" s="6" t="s">
        <v>1275</v>
      </c>
      <c r="B229" s="6" t="s">
        <v>577</v>
      </c>
      <c r="C229" s="7" t="s">
        <v>1276</v>
      </c>
      <c r="D229" s="7" t="s">
        <v>1277</v>
      </c>
      <c r="E229" s="6" t="s">
        <v>986</v>
      </c>
      <c r="F229" s="7" t="s">
        <v>310</v>
      </c>
      <c r="G229" t="s">
        <v>166</v>
      </c>
    </row>
    <row r="230" spans="1:7" ht="15.6">
      <c r="A230" s="6" t="s">
        <v>1278</v>
      </c>
      <c r="B230" s="6" t="s">
        <v>577</v>
      </c>
      <c r="C230" s="7" t="s">
        <v>1279</v>
      </c>
      <c r="D230" s="7" t="s">
        <v>1280</v>
      </c>
      <c r="E230" s="6" t="s">
        <v>1281</v>
      </c>
      <c r="F230" s="7" t="s">
        <v>445</v>
      </c>
      <c r="G230" t="s">
        <v>191</v>
      </c>
    </row>
    <row r="231" spans="1:7" ht="15.6">
      <c r="A231" s="6" t="s">
        <v>1282</v>
      </c>
      <c r="B231" s="6" t="s">
        <v>577</v>
      </c>
      <c r="C231" s="7" t="s">
        <v>1283</v>
      </c>
      <c r="D231" s="7" t="s">
        <v>1284</v>
      </c>
      <c r="E231" s="6" t="s">
        <v>844</v>
      </c>
      <c r="F231" s="7" t="s">
        <v>446</v>
      </c>
      <c r="G231" t="s">
        <v>191</v>
      </c>
    </row>
    <row r="232" spans="1:7" ht="15.6">
      <c r="A232" s="6" t="s">
        <v>1285</v>
      </c>
      <c r="B232" s="6" t="s">
        <v>651</v>
      </c>
      <c r="C232" s="7" t="s">
        <v>1286</v>
      </c>
      <c r="D232" s="7" t="s">
        <v>1287</v>
      </c>
      <c r="E232" s="6" t="s">
        <v>840</v>
      </c>
      <c r="F232" s="7" t="s">
        <v>312</v>
      </c>
      <c r="G232" t="s">
        <v>166</v>
      </c>
    </row>
    <row r="233" spans="1:7" ht="15.6">
      <c r="A233" s="6" t="s">
        <v>914</v>
      </c>
      <c r="B233" s="6" t="s">
        <v>577</v>
      </c>
      <c r="C233" s="7" t="s">
        <v>1288</v>
      </c>
      <c r="D233" s="7" t="s">
        <v>1289</v>
      </c>
      <c r="E233" s="6"/>
      <c r="F233" s="7" t="s">
        <v>447</v>
      </c>
      <c r="G233" t="s">
        <v>191</v>
      </c>
    </row>
    <row r="234" spans="1:7" ht="15.6">
      <c r="A234" s="6" t="s">
        <v>1290</v>
      </c>
      <c r="B234" s="6" t="s">
        <v>577</v>
      </c>
      <c r="C234" s="7" t="s">
        <v>1291</v>
      </c>
      <c r="D234" s="7" t="s">
        <v>1292</v>
      </c>
      <c r="E234" s="6"/>
      <c r="F234" s="7" t="s">
        <v>447</v>
      </c>
      <c r="G234" t="s">
        <v>191</v>
      </c>
    </row>
    <row r="235" spans="1:7" ht="15.6">
      <c r="A235" s="6" t="s">
        <v>1293</v>
      </c>
      <c r="B235" s="6" t="s">
        <v>577</v>
      </c>
      <c r="C235" s="7" t="s">
        <v>1294</v>
      </c>
      <c r="D235" s="7" t="s">
        <v>1295</v>
      </c>
      <c r="E235" s="6" t="s">
        <v>844</v>
      </c>
      <c r="F235" s="7" t="s">
        <v>448</v>
      </c>
      <c r="G235" t="s">
        <v>191</v>
      </c>
    </row>
    <row r="236" spans="1:7" ht="15.6">
      <c r="A236" s="6" t="s">
        <v>1296</v>
      </c>
      <c r="B236" s="6" t="s">
        <v>577</v>
      </c>
      <c r="C236" s="7" t="s">
        <v>1297</v>
      </c>
      <c r="D236" s="7" t="s">
        <v>1298</v>
      </c>
      <c r="E236" s="6" t="s">
        <v>840</v>
      </c>
      <c r="F236" s="7" t="s">
        <v>525</v>
      </c>
      <c r="G236" t="s">
        <v>206</v>
      </c>
    </row>
    <row r="237" spans="1:7" ht="15.6">
      <c r="A237" s="6" t="s">
        <v>1299</v>
      </c>
      <c r="B237" s="6" t="s">
        <v>577</v>
      </c>
      <c r="C237" s="7" t="s">
        <v>1300</v>
      </c>
      <c r="D237" s="7" t="s">
        <v>1301</v>
      </c>
      <c r="E237" s="6" t="s">
        <v>840</v>
      </c>
      <c r="F237" s="7" t="s">
        <v>555</v>
      </c>
      <c r="G237" t="s">
        <v>203</v>
      </c>
    </row>
    <row r="238" spans="1:7" ht="15.6">
      <c r="A238" s="6" t="s">
        <v>1302</v>
      </c>
      <c r="B238" s="6" t="s">
        <v>577</v>
      </c>
      <c r="C238" s="7" t="s">
        <v>1303</v>
      </c>
      <c r="D238" s="7" t="s">
        <v>1304</v>
      </c>
      <c r="E238" s="6" t="s">
        <v>840</v>
      </c>
      <c r="F238" s="7" t="s">
        <v>555</v>
      </c>
      <c r="G238" t="s">
        <v>203</v>
      </c>
    </row>
    <row r="239" spans="1:7" ht="15.6">
      <c r="A239" s="6" t="s">
        <v>1305</v>
      </c>
      <c r="B239" s="6" t="s">
        <v>651</v>
      </c>
      <c r="C239" s="7" t="s">
        <v>1306</v>
      </c>
      <c r="D239" s="7" t="s">
        <v>1307</v>
      </c>
      <c r="E239" s="6" t="s">
        <v>1308</v>
      </c>
      <c r="F239" s="7" t="s">
        <v>449</v>
      </c>
      <c r="G239" t="s">
        <v>191</v>
      </c>
    </row>
    <row r="240" spans="1:7" ht="15.6">
      <c r="A240" s="6" t="s">
        <v>1309</v>
      </c>
      <c r="B240" s="6" t="s">
        <v>577</v>
      </c>
      <c r="C240" s="7" t="s">
        <v>628</v>
      </c>
      <c r="D240" s="7" t="s">
        <v>1310</v>
      </c>
      <c r="E240" s="6" t="s">
        <v>1308</v>
      </c>
      <c r="F240" s="7" t="s">
        <v>449</v>
      </c>
      <c r="G240" t="s">
        <v>191</v>
      </c>
    </row>
    <row r="241" spans="1:7" ht="15.6">
      <c r="A241" s="6" t="s">
        <v>1311</v>
      </c>
      <c r="B241" s="6" t="s">
        <v>577</v>
      </c>
      <c r="C241" s="7" t="s">
        <v>1312</v>
      </c>
      <c r="D241" s="7" t="s">
        <v>1313</v>
      </c>
      <c r="E241" s="6" t="s">
        <v>1314</v>
      </c>
      <c r="F241" s="7" t="s">
        <v>313</v>
      </c>
      <c r="G241" t="s">
        <v>166</v>
      </c>
    </row>
    <row r="242" spans="1:7" ht="15.6">
      <c r="A242" s="6" t="s">
        <v>1315</v>
      </c>
      <c r="B242" s="6" t="s">
        <v>577</v>
      </c>
      <c r="C242" s="7" t="s">
        <v>628</v>
      </c>
      <c r="D242" s="7" t="s">
        <v>1316</v>
      </c>
      <c r="E242" s="6" t="s">
        <v>1314</v>
      </c>
      <c r="F242" s="7" t="s">
        <v>313</v>
      </c>
      <c r="G242" t="s">
        <v>166</v>
      </c>
    </row>
    <row r="243" spans="1:7" ht="15.6">
      <c r="A243" s="6" t="s">
        <v>1317</v>
      </c>
      <c r="B243" s="6" t="s">
        <v>577</v>
      </c>
      <c r="C243" s="7" t="s">
        <v>1318</v>
      </c>
      <c r="D243" s="7" t="s">
        <v>962</v>
      </c>
      <c r="E243" s="6" t="s">
        <v>591</v>
      </c>
      <c r="F243" s="7" t="s">
        <v>314</v>
      </c>
      <c r="G243" t="s">
        <v>166</v>
      </c>
    </row>
    <row r="244" spans="1:7" ht="15.6">
      <c r="A244" s="6" t="s">
        <v>1319</v>
      </c>
      <c r="B244" s="6" t="s">
        <v>577</v>
      </c>
      <c r="C244" s="7" t="s">
        <v>1320</v>
      </c>
      <c r="D244" s="7" t="s">
        <v>1321</v>
      </c>
      <c r="E244" s="6" t="s">
        <v>723</v>
      </c>
      <c r="F244" s="7" t="s">
        <v>315</v>
      </c>
      <c r="G244" t="s">
        <v>245</v>
      </c>
    </row>
    <row r="245" spans="1:7" ht="15.6">
      <c r="A245" s="6" t="s">
        <v>1322</v>
      </c>
      <c r="B245" s="6" t="s">
        <v>577</v>
      </c>
      <c r="C245" s="7" t="s">
        <v>1323</v>
      </c>
      <c r="D245" s="7" t="s">
        <v>1324</v>
      </c>
      <c r="E245" s="6" t="s">
        <v>723</v>
      </c>
      <c r="F245" s="7" t="s">
        <v>315</v>
      </c>
      <c r="G245" t="s">
        <v>245</v>
      </c>
    </row>
    <row r="246" spans="1:7" ht="15.6">
      <c r="A246" s="6" t="s">
        <v>1325</v>
      </c>
      <c r="B246" s="6" t="s">
        <v>577</v>
      </c>
      <c r="C246" s="7" t="s">
        <v>1326</v>
      </c>
      <c r="D246" s="7" t="s">
        <v>1327</v>
      </c>
      <c r="E246" s="6" t="s">
        <v>1328</v>
      </c>
      <c r="F246" s="7" t="s">
        <v>316</v>
      </c>
      <c r="G246" t="s">
        <v>166</v>
      </c>
    </row>
    <row r="247" spans="1:7" ht="15.6">
      <c r="A247" s="6" t="s">
        <v>1329</v>
      </c>
      <c r="B247" s="6" t="s">
        <v>577</v>
      </c>
      <c r="C247" s="7" t="s">
        <v>1330</v>
      </c>
      <c r="D247" s="7" t="s">
        <v>1331</v>
      </c>
      <c r="E247" s="6" t="s">
        <v>1328</v>
      </c>
      <c r="F247" s="7" t="s">
        <v>316</v>
      </c>
      <c r="G247" t="s">
        <v>166</v>
      </c>
    </row>
    <row r="248" spans="1:7" ht="15.6">
      <c r="A248" s="6" t="s">
        <v>1332</v>
      </c>
      <c r="B248" s="6" t="s">
        <v>577</v>
      </c>
      <c r="C248" s="7" t="s">
        <v>1333</v>
      </c>
      <c r="D248" s="7" t="s">
        <v>1334</v>
      </c>
      <c r="E248" s="6" t="s">
        <v>1328</v>
      </c>
      <c r="F248" s="7" t="s">
        <v>316</v>
      </c>
      <c r="G248" t="s">
        <v>166</v>
      </c>
    </row>
    <row r="249" spans="1:7" ht="15.6">
      <c r="A249" s="6" t="s">
        <v>1335</v>
      </c>
      <c r="B249" s="6" t="s">
        <v>577</v>
      </c>
      <c r="C249" s="7" t="s">
        <v>1336</v>
      </c>
      <c r="D249" s="7" t="s">
        <v>1337</v>
      </c>
      <c r="E249" s="6" t="s">
        <v>1328</v>
      </c>
      <c r="F249" s="7" t="s">
        <v>316</v>
      </c>
      <c r="G249" t="s">
        <v>166</v>
      </c>
    </row>
    <row r="250" spans="1:7" ht="15.6">
      <c r="A250" s="6" t="s">
        <v>1338</v>
      </c>
      <c r="B250" s="6" t="s">
        <v>577</v>
      </c>
      <c r="C250" s="7" t="s">
        <v>1339</v>
      </c>
      <c r="D250" s="7" t="s">
        <v>1340</v>
      </c>
      <c r="E250" s="6" t="s">
        <v>1328</v>
      </c>
      <c r="F250" s="7" t="s">
        <v>316</v>
      </c>
      <c r="G250" t="s">
        <v>166</v>
      </c>
    </row>
    <row r="251" spans="1:7" ht="15.6">
      <c r="A251" s="6" t="s">
        <v>1341</v>
      </c>
      <c r="B251" s="6" t="s">
        <v>577</v>
      </c>
      <c r="C251" s="7" t="s">
        <v>1342</v>
      </c>
      <c r="D251" s="7" t="s">
        <v>1343</v>
      </c>
      <c r="E251" s="6" t="s">
        <v>1328</v>
      </c>
      <c r="F251" s="7" t="s">
        <v>316</v>
      </c>
      <c r="G251" t="s">
        <v>166</v>
      </c>
    </row>
    <row r="252" spans="1:7" ht="15.6">
      <c r="A252" s="6" t="s">
        <v>1344</v>
      </c>
      <c r="B252" s="6" t="s">
        <v>577</v>
      </c>
      <c r="C252" s="7" t="s">
        <v>1345</v>
      </c>
      <c r="D252" s="7" t="s">
        <v>1346</v>
      </c>
      <c r="E252" s="6" t="s">
        <v>1328</v>
      </c>
      <c r="F252" s="7" t="s">
        <v>316</v>
      </c>
      <c r="G252" t="s">
        <v>166</v>
      </c>
    </row>
    <row r="253" spans="1:7" ht="15.6">
      <c r="A253" s="6" t="s">
        <v>1347</v>
      </c>
      <c r="B253" s="6" t="s">
        <v>577</v>
      </c>
      <c r="C253" s="7" t="s">
        <v>1326</v>
      </c>
      <c r="D253" s="7" t="s">
        <v>1348</v>
      </c>
      <c r="E253" s="6" t="s">
        <v>1328</v>
      </c>
      <c r="F253" s="7" t="s">
        <v>316</v>
      </c>
      <c r="G253" t="s">
        <v>166</v>
      </c>
    </row>
    <row r="254" spans="1:7" ht="15.6">
      <c r="A254" s="6" t="s">
        <v>1349</v>
      </c>
      <c r="B254" s="6" t="s">
        <v>577</v>
      </c>
      <c r="C254" s="7" t="s">
        <v>1326</v>
      </c>
      <c r="D254" s="7" t="s">
        <v>1350</v>
      </c>
      <c r="E254" s="6" t="s">
        <v>1328</v>
      </c>
      <c r="F254" s="7" t="s">
        <v>316</v>
      </c>
      <c r="G254" t="s">
        <v>166</v>
      </c>
    </row>
    <row r="255" spans="1:7" ht="15.6">
      <c r="A255" s="6" t="s">
        <v>1351</v>
      </c>
      <c r="B255" s="6" t="s">
        <v>577</v>
      </c>
      <c r="C255" s="7" t="s">
        <v>1326</v>
      </c>
      <c r="D255" s="7" t="s">
        <v>1352</v>
      </c>
      <c r="E255" s="6" t="s">
        <v>1328</v>
      </c>
      <c r="F255" s="7" t="s">
        <v>316</v>
      </c>
      <c r="G255" t="s">
        <v>166</v>
      </c>
    </row>
    <row r="256" spans="1:7" ht="15.6">
      <c r="A256" s="6" t="s">
        <v>1353</v>
      </c>
      <c r="B256" s="6" t="s">
        <v>577</v>
      </c>
      <c r="C256" s="7" t="s">
        <v>1354</v>
      </c>
      <c r="D256" s="7" t="s">
        <v>1355</v>
      </c>
      <c r="E256" s="6" t="s">
        <v>1328</v>
      </c>
      <c r="F256" s="7" t="s">
        <v>316</v>
      </c>
      <c r="G256" t="s">
        <v>166</v>
      </c>
    </row>
    <row r="257" spans="1:7" ht="15.6">
      <c r="A257" s="6" t="s">
        <v>1356</v>
      </c>
      <c r="B257" s="6" t="s">
        <v>577</v>
      </c>
      <c r="C257" s="7" t="s">
        <v>1357</v>
      </c>
      <c r="D257" s="7" t="s">
        <v>1358</v>
      </c>
      <c r="E257" s="6" t="s">
        <v>727</v>
      </c>
      <c r="F257" s="7" t="s">
        <v>451</v>
      </c>
      <c r="G257" t="s">
        <v>191</v>
      </c>
    </row>
    <row r="258" spans="1:7" ht="15.6">
      <c r="A258" s="6" t="s">
        <v>1359</v>
      </c>
      <c r="B258" s="6" t="s">
        <v>577</v>
      </c>
      <c r="C258" s="7" t="s">
        <v>1360</v>
      </c>
      <c r="D258" s="7" t="s">
        <v>1361</v>
      </c>
      <c r="E258" s="6" t="s">
        <v>591</v>
      </c>
      <c r="F258" s="7" t="s">
        <v>452</v>
      </c>
      <c r="G258" t="s">
        <v>191</v>
      </c>
    </row>
    <row r="259" spans="1:7" ht="15.6">
      <c r="A259" s="6" t="s">
        <v>1362</v>
      </c>
      <c r="B259" s="6" t="s">
        <v>577</v>
      </c>
      <c r="C259" s="7" t="s">
        <v>1363</v>
      </c>
      <c r="D259" s="7" t="s">
        <v>1364</v>
      </c>
      <c r="E259" s="6" t="s">
        <v>1308</v>
      </c>
      <c r="F259" s="7" t="s">
        <v>317</v>
      </c>
      <c r="G259" t="s">
        <v>245</v>
      </c>
    </row>
    <row r="260" spans="1:7" ht="15.6">
      <c r="A260" s="6" t="s">
        <v>1365</v>
      </c>
      <c r="B260" s="6" t="s">
        <v>577</v>
      </c>
      <c r="C260" s="7" t="s">
        <v>1366</v>
      </c>
      <c r="D260" s="7" t="s">
        <v>1367</v>
      </c>
      <c r="E260" s="6" t="s">
        <v>844</v>
      </c>
      <c r="F260" s="7" t="s">
        <v>318</v>
      </c>
      <c r="G260" t="s">
        <v>166</v>
      </c>
    </row>
    <row r="261" spans="1:7" ht="15.6">
      <c r="A261" s="6" t="s">
        <v>1368</v>
      </c>
      <c r="B261" s="6" t="s">
        <v>577</v>
      </c>
      <c r="C261" s="7" t="s">
        <v>1369</v>
      </c>
      <c r="D261" s="7" t="s">
        <v>1370</v>
      </c>
      <c r="E261" s="6" t="s">
        <v>856</v>
      </c>
      <c r="F261" s="7" t="s">
        <v>453</v>
      </c>
      <c r="G261" t="s">
        <v>191</v>
      </c>
    </row>
    <row r="262" spans="1:7" ht="15.6">
      <c r="A262" s="6" t="s">
        <v>1371</v>
      </c>
      <c r="B262" s="6" t="s">
        <v>577</v>
      </c>
      <c r="C262" s="7" t="s">
        <v>1372</v>
      </c>
      <c r="D262" s="7" t="s">
        <v>1373</v>
      </c>
      <c r="E262" s="6" t="s">
        <v>591</v>
      </c>
      <c r="F262" s="7" t="s">
        <v>319</v>
      </c>
      <c r="G262" t="s">
        <v>166</v>
      </c>
    </row>
    <row r="263" spans="1:7" ht="15.6">
      <c r="A263" s="6" t="s">
        <v>1374</v>
      </c>
      <c r="B263" s="6" t="s">
        <v>577</v>
      </c>
      <c r="C263" s="7" t="s">
        <v>1375</v>
      </c>
      <c r="D263" s="7" t="s">
        <v>1376</v>
      </c>
      <c r="E263" s="6" t="s">
        <v>591</v>
      </c>
      <c r="F263" s="7" t="s">
        <v>319</v>
      </c>
      <c r="G263" t="s">
        <v>166</v>
      </c>
    </row>
    <row r="264" spans="1:7" ht="15.6">
      <c r="A264" s="6" t="s">
        <v>1377</v>
      </c>
      <c r="B264" s="6" t="s">
        <v>577</v>
      </c>
      <c r="C264" s="7" t="s">
        <v>1378</v>
      </c>
      <c r="D264" s="7" t="s">
        <v>1379</v>
      </c>
      <c r="E264" s="6" t="s">
        <v>591</v>
      </c>
      <c r="F264" s="7" t="s">
        <v>319</v>
      </c>
      <c r="G264" t="s">
        <v>166</v>
      </c>
    </row>
    <row r="265" spans="1:7" ht="15.6">
      <c r="A265" s="6" t="s">
        <v>1380</v>
      </c>
      <c r="B265" s="6" t="s">
        <v>577</v>
      </c>
      <c r="C265" s="7" t="s">
        <v>1381</v>
      </c>
      <c r="D265" s="7" t="s">
        <v>1382</v>
      </c>
      <c r="E265" s="6" t="s">
        <v>591</v>
      </c>
      <c r="F265" s="7" t="s">
        <v>319</v>
      </c>
      <c r="G265" t="s">
        <v>166</v>
      </c>
    </row>
    <row r="266" spans="1:7" ht="15.6">
      <c r="A266" s="6" t="s">
        <v>1383</v>
      </c>
      <c r="B266" s="6" t="s">
        <v>577</v>
      </c>
      <c r="C266" s="7" t="s">
        <v>1384</v>
      </c>
      <c r="D266" s="7" t="s">
        <v>1385</v>
      </c>
      <c r="E266" s="6" t="s">
        <v>591</v>
      </c>
      <c r="F266" s="7" t="s">
        <v>319</v>
      </c>
      <c r="G266" t="s">
        <v>166</v>
      </c>
    </row>
    <row r="267" spans="1:7" ht="15.6">
      <c r="A267" s="6" t="s">
        <v>1386</v>
      </c>
      <c r="B267" s="6" t="s">
        <v>577</v>
      </c>
      <c r="C267" s="7" t="s">
        <v>1387</v>
      </c>
      <c r="D267" s="7" t="s">
        <v>1388</v>
      </c>
      <c r="E267" s="6" t="s">
        <v>1389</v>
      </c>
      <c r="F267" s="7" t="s">
        <v>407</v>
      </c>
      <c r="G267" t="s">
        <v>180</v>
      </c>
    </row>
    <row r="268" spans="1:7" ht="15.6">
      <c r="A268" s="6" t="s">
        <v>1390</v>
      </c>
      <c r="B268" s="6" t="s">
        <v>577</v>
      </c>
      <c r="C268" s="7" t="s">
        <v>1391</v>
      </c>
      <c r="D268" s="7" t="s">
        <v>1392</v>
      </c>
      <c r="E268" s="6" t="s">
        <v>1393</v>
      </c>
      <c r="F268" s="7" t="s">
        <v>527</v>
      </c>
      <c r="G268" t="s">
        <v>206</v>
      </c>
    </row>
    <row r="269" spans="1:7" ht="15.6">
      <c r="A269" s="6" t="s">
        <v>1394</v>
      </c>
      <c r="B269" s="6" t="s">
        <v>577</v>
      </c>
      <c r="C269" s="7" t="s">
        <v>1395</v>
      </c>
      <c r="D269" s="7" t="s">
        <v>1396</v>
      </c>
      <c r="E269" s="6" t="s">
        <v>844</v>
      </c>
      <c r="F269" s="7" t="s">
        <v>378</v>
      </c>
      <c r="G269" t="s">
        <v>173</v>
      </c>
    </row>
    <row r="270" spans="1:7" ht="15.6">
      <c r="A270" s="6" t="s">
        <v>1397</v>
      </c>
      <c r="B270" s="6" t="s">
        <v>577</v>
      </c>
      <c r="C270" s="7" t="s">
        <v>1398</v>
      </c>
      <c r="D270" s="7" t="s">
        <v>1399</v>
      </c>
      <c r="E270" s="6" t="s">
        <v>1400</v>
      </c>
      <c r="F270" s="7" t="s">
        <v>320</v>
      </c>
      <c r="G270" t="s">
        <v>166</v>
      </c>
    </row>
    <row r="271" spans="1:7" ht="15.6">
      <c r="A271" s="6" t="s">
        <v>1401</v>
      </c>
      <c r="B271" s="6" t="s">
        <v>577</v>
      </c>
      <c r="C271" s="7" t="s">
        <v>1402</v>
      </c>
      <c r="D271" s="7" t="s">
        <v>1403</v>
      </c>
      <c r="E271" s="6" t="s">
        <v>1400</v>
      </c>
      <c r="F271" s="7" t="s">
        <v>320</v>
      </c>
      <c r="G271" t="s">
        <v>166</v>
      </c>
    </row>
    <row r="272" spans="1:7" ht="15.6">
      <c r="A272" s="6" t="s">
        <v>1404</v>
      </c>
      <c r="B272" s="6" t="s">
        <v>577</v>
      </c>
      <c r="C272" s="7" t="s">
        <v>1405</v>
      </c>
      <c r="D272" s="7" t="s">
        <v>1399</v>
      </c>
      <c r="E272" s="6" t="s">
        <v>591</v>
      </c>
      <c r="F272" s="7" t="s">
        <v>321</v>
      </c>
      <c r="G272" t="s">
        <v>166</v>
      </c>
    </row>
    <row r="273" spans="1:7" ht="15.6">
      <c r="A273" s="6" t="s">
        <v>1406</v>
      </c>
      <c r="B273" s="6" t="s">
        <v>577</v>
      </c>
      <c r="C273" s="7" t="s">
        <v>1407</v>
      </c>
      <c r="D273" s="7" t="s">
        <v>1408</v>
      </c>
      <c r="E273" s="6" t="s">
        <v>591</v>
      </c>
      <c r="F273" s="7" t="s">
        <v>321</v>
      </c>
      <c r="G273" t="s">
        <v>166</v>
      </c>
    </row>
    <row r="274" spans="1:7" ht="15.6">
      <c r="A274" s="6" t="s">
        <v>1409</v>
      </c>
      <c r="B274" s="6" t="s">
        <v>577</v>
      </c>
      <c r="C274" s="7" t="s">
        <v>1410</v>
      </c>
      <c r="D274" s="7" t="s">
        <v>1411</v>
      </c>
      <c r="E274" s="6" t="s">
        <v>1412</v>
      </c>
      <c r="F274" s="7" t="s">
        <v>454</v>
      </c>
      <c r="G274" t="s">
        <v>191</v>
      </c>
    </row>
    <row r="275" spans="1:7" ht="15.6">
      <c r="A275" s="6" t="s">
        <v>1413</v>
      </c>
      <c r="B275" s="6" t="s">
        <v>577</v>
      </c>
      <c r="C275" s="7" t="s">
        <v>1414</v>
      </c>
      <c r="D275" s="7" t="s">
        <v>1415</v>
      </c>
      <c r="E275" s="6" t="s">
        <v>844</v>
      </c>
      <c r="F275" s="7" t="s">
        <v>528</v>
      </c>
      <c r="G275" t="s">
        <v>206</v>
      </c>
    </row>
    <row r="276" spans="1:7" ht="15.6">
      <c r="A276" s="6" t="s">
        <v>1416</v>
      </c>
      <c r="B276" s="6" t="s">
        <v>577</v>
      </c>
      <c r="C276" s="7" t="s">
        <v>1417</v>
      </c>
      <c r="D276" s="7" t="s">
        <v>1418</v>
      </c>
      <c r="E276" s="6" t="s">
        <v>727</v>
      </c>
      <c r="F276" s="7" t="s">
        <v>529</v>
      </c>
      <c r="G276" t="s">
        <v>206</v>
      </c>
    </row>
    <row r="277" spans="1:7" ht="15.6">
      <c r="A277" s="6" t="s">
        <v>1419</v>
      </c>
      <c r="B277" s="6" t="s">
        <v>577</v>
      </c>
      <c r="C277" s="7" t="s">
        <v>1420</v>
      </c>
      <c r="D277" s="7" t="s">
        <v>1421</v>
      </c>
      <c r="E277" s="6" t="s">
        <v>727</v>
      </c>
      <c r="F277" s="7" t="s">
        <v>529</v>
      </c>
      <c r="G277" t="s">
        <v>206</v>
      </c>
    </row>
    <row r="278" spans="1:7" ht="15.6">
      <c r="A278" s="6" t="s">
        <v>1422</v>
      </c>
      <c r="B278" s="6" t="s">
        <v>577</v>
      </c>
      <c r="C278" s="7" t="s">
        <v>1423</v>
      </c>
      <c r="D278" s="7" t="s">
        <v>1424</v>
      </c>
      <c r="E278" s="6" t="s">
        <v>856</v>
      </c>
      <c r="F278" s="7" t="s">
        <v>455</v>
      </c>
      <c r="G278" t="s">
        <v>191</v>
      </c>
    </row>
    <row r="279" spans="1:7" ht="15.6">
      <c r="A279" s="6" t="s">
        <v>1425</v>
      </c>
      <c r="B279" s="6" t="s">
        <v>577</v>
      </c>
      <c r="C279" s="7" t="s">
        <v>1426</v>
      </c>
      <c r="D279" s="7" t="s">
        <v>1427</v>
      </c>
      <c r="E279" s="6" t="s">
        <v>844</v>
      </c>
      <c r="F279" s="7" t="s">
        <v>456</v>
      </c>
      <c r="G279" t="s">
        <v>191</v>
      </c>
    </row>
    <row r="280" spans="1:7" ht="15.6">
      <c r="A280" s="6" t="s">
        <v>1428</v>
      </c>
      <c r="B280" s="6" t="s">
        <v>577</v>
      </c>
      <c r="C280" s="7" t="s">
        <v>1429</v>
      </c>
      <c r="D280" s="7" t="s">
        <v>1430</v>
      </c>
      <c r="E280" s="6"/>
      <c r="F280" s="7" t="s">
        <v>457</v>
      </c>
      <c r="G280" t="s">
        <v>191</v>
      </c>
    </row>
    <row r="281" spans="1:7" ht="15.6">
      <c r="A281" s="6" t="s">
        <v>1431</v>
      </c>
      <c r="B281" s="6" t="s">
        <v>577</v>
      </c>
      <c r="C281" s="7" t="s">
        <v>1432</v>
      </c>
      <c r="D281" s="7" t="s">
        <v>1433</v>
      </c>
      <c r="E281" s="6" t="s">
        <v>1434</v>
      </c>
      <c r="F281" s="7" t="s">
        <v>458</v>
      </c>
      <c r="G281" t="s">
        <v>191</v>
      </c>
    </row>
    <row r="282" spans="1:7" ht="15.6">
      <c r="A282" s="6" t="s">
        <v>1435</v>
      </c>
      <c r="B282" s="6" t="s">
        <v>577</v>
      </c>
      <c r="C282" s="7" t="s">
        <v>611</v>
      </c>
      <c r="D282" s="7" t="s">
        <v>1436</v>
      </c>
      <c r="E282" s="6" t="s">
        <v>856</v>
      </c>
      <c r="F282" s="7" t="s">
        <v>459</v>
      </c>
      <c r="G282" t="s">
        <v>191</v>
      </c>
    </row>
    <row r="283" spans="1:7" ht="15.6">
      <c r="A283" s="6" t="s">
        <v>1437</v>
      </c>
      <c r="B283" s="6" t="s">
        <v>577</v>
      </c>
      <c r="C283" s="7" t="s">
        <v>1438</v>
      </c>
      <c r="D283" s="7" t="s">
        <v>1439</v>
      </c>
      <c r="E283" s="6" t="s">
        <v>844</v>
      </c>
      <c r="F283" s="7" t="s">
        <v>460</v>
      </c>
      <c r="G283" t="s">
        <v>191</v>
      </c>
    </row>
    <row r="284" spans="1:7" ht="15.6">
      <c r="A284" s="6" t="s">
        <v>1440</v>
      </c>
      <c r="B284" s="6" t="s">
        <v>577</v>
      </c>
      <c r="C284" s="7" t="s">
        <v>1441</v>
      </c>
      <c r="D284" s="7" t="s">
        <v>1442</v>
      </c>
      <c r="E284" s="6" t="s">
        <v>844</v>
      </c>
      <c r="F284" s="7" t="s">
        <v>322</v>
      </c>
      <c r="G284" t="s">
        <v>245</v>
      </c>
    </row>
    <row r="285" spans="1:7" ht="15.6">
      <c r="A285" s="6" t="s">
        <v>1443</v>
      </c>
      <c r="B285" s="6" t="s">
        <v>577</v>
      </c>
      <c r="C285" s="7" t="s">
        <v>1444</v>
      </c>
      <c r="D285" s="7" t="s">
        <v>1445</v>
      </c>
      <c r="E285" s="6" t="s">
        <v>844</v>
      </c>
      <c r="F285" s="7" t="s">
        <v>322</v>
      </c>
      <c r="G285" t="s">
        <v>245</v>
      </c>
    </row>
    <row r="286" spans="1:7" ht="15.6">
      <c r="A286" s="6" t="s">
        <v>1446</v>
      </c>
      <c r="B286" s="6" t="s">
        <v>577</v>
      </c>
      <c r="C286" s="7" t="s">
        <v>1447</v>
      </c>
      <c r="D286" s="7" t="s">
        <v>1448</v>
      </c>
      <c r="E286" s="6" t="s">
        <v>844</v>
      </c>
      <c r="F286" s="7" t="s">
        <v>461</v>
      </c>
      <c r="G286" t="s">
        <v>191</v>
      </c>
    </row>
    <row r="287" spans="1:7" ht="15.6">
      <c r="A287" s="6" t="s">
        <v>1449</v>
      </c>
      <c r="B287" s="6" t="s">
        <v>577</v>
      </c>
      <c r="C287" s="7" t="s">
        <v>1450</v>
      </c>
      <c r="D287" s="7" t="s">
        <v>1451</v>
      </c>
      <c r="E287" s="6" t="s">
        <v>844</v>
      </c>
      <c r="F287" s="7" t="s">
        <v>379</v>
      </c>
      <c r="G287" t="s">
        <v>173</v>
      </c>
    </row>
    <row r="288" spans="1:7" ht="15.6">
      <c r="A288" s="6" t="s">
        <v>1452</v>
      </c>
      <c r="B288" s="6" t="s">
        <v>577</v>
      </c>
      <c r="C288" s="7" t="s">
        <v>1453</v>
      </c>
      <c r="D288" s="7" t="s">
        <v>1454</v>
      </c>
      <c r="E288" s="6" t="s">
        <v>844</v>
      </c>
      <c r="F288" s="7" t="s">
        <v>323</v>
      </c>
      <c r="G288" t="s">
        <v>166</v>
      </c>
    </row>
    <row r="289" spans="1:7" ht="15.6">
      <c r="A289" s="6" t="s">
        <v>1455</v>
      </c>
      <c r="B289" s="6" t="s">
        <v>577</v>
      </c>
      <c r="C289" s="7" t="s">
        <v>1456</v>
      </c>
      <c r="D289" s="7" t="s">
        <v>1457</v>
      </c>
      <c r="E289" s="6" t="s">
        <v>844</v>
      </c>
      <c r="F289" s="7" t="s">
        <v>323</v>
      </c>
      <c r="G289" t="s">
        <v>166</v>
      </c>
    </row>
    <row r="290" spans="1:7" ht="15.6">
      <c r="A290" s="6" t="s">
        <v>1458</v>
      </c>
      <c r="B290" s="6" t="s">
        <v>577</v>
      </c>
      <c r="C290" s="7" t="s">
        <v>1459</v>
      </c>
      <c r="D290" s="7" t="s">
        <v>1460</v>
      </c>
      <c r="E290" s="6" t="s">
        <v>591</v>
      </c>
      <c r="F290" s="7" t="s">
        <v>324</v>
      </c>
      <c r="G290" t="s">
        <v>166</v>
      </c>
    </row>
    <row r="291" spans="1:7" ht="15.6">
      <c r="A291" s="6" t="s">
        <v>1461</v>
      </c>
      <c r="B291" s="6" t="s">
        <v>577</v>
      </c>
      <c r="C291" s="7" t="s">
        <v>1462</v>
      </c>
      <c r="D291" s="7" t="s">
        <v>1463</v>
      </c>
      <c r="E291" s="6" t="s">
        <v>844</v>
      </c>
      <c r="F291" s="7" t="s">
        <v>462</v>
      </c>
      <c r="G291" t="s">
        <v>191</v>
      </c>
    </row>
    <row r="292" spans="1:7" ht="15.6">
      <c r="A292" s="6" t="s">
        <v>1464</v>
      </c>
      <c r="B292" s="6" t="s">
        <v>577</v>
      </c>
      <c r="C292" s="7" t="s">
        <v>1465</v>
      </c>
      <c r="D292" s="7" t="s">
        <v>1466</v>
      </c>
      <c r="E292" s="6" t="s">
        <v>856</v>
      </c>
      <c r="F292" s="7" t="s">
        <v>463</v>
      </c>
      <c r="G292" t="s">
        <v>191</v>
      </c>
    </row>
    <row r="293" spans="1:7" ht="15.6">
      <c r="A293" s="6" t="s">
        <v>1467</v>
      </c>
      <c r="B293" s="6" t="s">
        <v>577</v>
      </c>
      <c r="C293" s="7" t="s">
        <v>1468</v>
      </c>
      <c r="D293" s="7" t="s">
        <v>1469</v>
      </c>
      <c r="E293" s="6" t="s">
        <v>856</v>
      </c>
      <c r="F293" s="7" t="s">
        <v>463</v>
      </c>
      <c r="G293" t="s">
        <v>191</v>
      </c>
    </row>
    <row r="294" spans="1:7" ht="15.6">
      <c r="A294" s="6" t="s">
        <v>1470</v>
      </c>
      <c r="B294" s="6" t="s">
        <v>577</v>
      </c>
      <c r="C294" s="7" t="s">
        <v>1471</v>
      </c>
      <c r="D294" s="7" t="s">
        <v>1472</v>
      </c>
      <c r="E294" s="6" t="s">
        <v>727</v>
      </c>
      <c r="F294" s="7" t="s">
        <v>556</v>
      </c>
      <c r="G294" t="s">
        <v>203</v>
      </c>
    </row>
    <row r="295" spans="1:7" ht="15.6">
      <c r="A295" s="6" t="s">
        <v>1473</v>
      </c>
      <c r="B295" s="6" t="s">
        <v>577</v>
      </c>
      <c r="C295" s="7" t="s">
        <v>1474</v>
      </c>
      <c r="D295" s="7" t="s">
        <v>1475</v>
      </c>
      <c r="E295" s="6" t="s">
        <v>844</v>
      </c>
      <c r="F295" s="7" t="s">
        <v>464</v>
      </c>
      <c r="G295" t="s">
        <v>191</v>
      </c>
    </row>
    <row r="296" spans="1:7" ht="15.6">
      <c r="A296" s="6" t="s">
        <v>1476</v>
      </c>
      <c r="B296" s="6" t="s">
        <v>577</v>
      </c>
      <c r="C296" s="7" t="s">
        <v>1477</v>
      </c>
      <c r="D296" s="7" t="s">
        <v>1478</v>
      </c>
      <c r="E296" s="6" t="s">
        <v>844</v>
      </c>
      <c r="F296" s="7" t="s">
        <v>380</v>
      </c>
      <c r="G296" t="s">
        <v>173</v>
      </c>
    </row>
    <row r="297" spans="1:7" ht="15.6">
      <c r="A297" s="6" t="s">
        <v>1479</v>
      </c>
      <c r="B297" s="6" t="s">
        <v>577</v>
      </c>
      <c r="C297" s="7" t="s">
        <v>1480</v>
      </c>
      <c r="D297" s="7" t="s">
        <v>1481</v>
      </c>
      <c r="E297" s="6" t="s">
        <v>1482</v>
      </c>
      <c r="F297" s="7" t="s">
        <v>557</v>
      </c>
      <c r="G297" t="s">
        <v>203</v>
      </c>
    </row>
    <row r="298" spans="1:7" ht="15.6">
      <c r="A298" s="6" t="s">
        <v>1483</v>
      </c>
      <c r="B298" s="6" t="s">
        <v>577</v>
      </c>
      <c r="C298" s="7" t="s">
        <v>1484</v>
      </c>
      <c r="D298" s="7" t="s">
        <v>1485</v>
      </c>
      <c r="E298" s="6" t="s">
        <v>1482</v>
      </c>
      <c r="F298" s="7" t="s">
        <v>557</v>
      </c>
      <c r="G298" t="s">
        <v>203</v>
      </c>
    </row>
    <row r="299" spans="1:7" ht="15.6">
      <c r="A299" s="6" t="s">
        <v>1486</v>
      </c>
      <c r="B299" s="6" t="s">
        <v>577</v>
      </c>
      <c r="C299" s="7" t="s">
        <v>1487</v>
      </c>
      <c r="D299" s="7" t="s">
        <v>1488</v>
      </c>
      <c r="E299" s="6" t="s">
        <v>844</v>
      </c>
      <c r="F299" s="7" t="s">
        <v>465</v>
      </c>
      <c r="G299" t="s">
        <v>191</v>
      </c>
    </row>
    <row r="300" spans="1:7" ht="15.6">
      <c r="A300" s="6" t="s">
        <v>1489</v>
      </c>
      <c r="B300" s="6" t="s">
        <v>577</v>
      </c>
      <c r="C300" s="7" t="s">
        <v>1490</v>
      </c>
      <c r="D300" s="7" t="s">
        <v>1491</v>
      </c>
      <c r="E300" s="6" t="s">
        <v>1492</v>
      </c>
      <c r="F300" s="7" t="s">
        <v>530</v>
      </c>
      <c r="G300" t="s">
        <v>206</v>
      </c>
    </row>
    <row r="301" spans="1:7" ht="15.6">
      <c r="A301" s="6" t="s">
        <v>1493</v>
      </c>
      <c r="B301" s="6" t="s">
        <v>577</v>
      </c>
      <c r="C301" s="7" t="s">
        <v>628</v>
      </c>
      <c r="D301" s="7" t="s">
        <v>1494</v>
      </c>
      <c r="E301" s="6" t="s">
        <v>844</v>
      </c>
      <c r="F301" s="7" t="s">
        <v>165</v>
      </c>
      <c r="G301" t="s">
        <v>159</v>
      </c>
    </row>
    <row r="302" spans="1:7" ht="15.6">
      <c r="A302" s="6" t="s">
        <v>1495</v>
      </c>
      <c r="B302" s="6" t="s">
        <v>577</v>
      </c>
      <c r="C302" s="7" t="s">
        <v>1496</v>
      </c>
      <c r="D302" s="7" t="s">
        <v>1497</v>
      </c>
      <c r="E302" s="6" t="s">
        <v>591</v>
      </c>
      <c r="F302" s="7" t="s">
        <v>325</v>
      </c>
      <c r="G302" t="s">
        <v>166</v>
      </c>
    </row>
    <row r="303" spans="1:7" ht="15.6">
      <c r="A303" s="6" t="s">
        <v>1498</v>
      </c>
      <c r="B303" s="6" t="s">
        <v>577</v>
      </c>
      <c r="C303" s="7" t="s">
        <v>628</v>
      </c>
      <c r="D303" s="7" t="s">
        <v>1499</v>
      </c>
      <c r="E303" s="6" t="s">
        <v>1500</v>
      </c>
      <c r="F303" s="7" t="s">
        <v>382</v>
      </c>
      <c r="G303" t="s">
        <v>173</v>
      </c>
    </row>
    <row r="304" spans="1:7" ht="15.6">
      <c r="A304" s="6" t="s">
        <v>1501</v>
      </c>
      <c r="B304" s="6" t="s">
        <v>577</v>
      </c>
      <c r="C304" s="7" t="s">
        <v>1502</v>
      </c>
      <c r="D304" s="7" t="s">
        <v>1503</v>
      </c>
      <c r="E304" s="6" t="s">
        <v>844</v>
      </c>
      <c r="F304" s="7" t="s">
        <v>383</v>
      </c>
      <c r="G304" t="s">
        <v>173</v>
      </c>
    </row>
    <row r="305" spans="1:7" ht="15.6">
      <c r="A305" s="6" t="s">
        <v>1504</v>
      </c>
      <c r="B305" s="6" t="s">
        <v>577</v>
      </c>
      <c r="C305" s="7" t="s">
        <v>1505</v>
      </c>
      <c r="D305" s="7" t="s">
        <v>628</v>
      </c>
      <c r="E305" s="6" t="s">
        <v>727</v>
      </c>
      <c r="F305" s="7" t="s">
        <v>326</v>
      </c>
      <c r="G305" t="s">
        <v>166</v>
      </c>
    </row>
    <row r="306" spans="1:7" ht="15.6">
      <c r="A306" s="6" t="s">
        <v>1506</v>
      </c>
      <c r="B306" s="6" t="s">
        <v>577</v>
      </c>
      <c r="C306" s="7" t="s">
        <v>1507</v>
      </c>
      <c r="D306" s="7" t="s">
        <v>1508</v>
      </c>
      <c r="E306" s="6" t="s">
        <v>844</v>
      </c>
      <c r="F306" s="7" t="s">
        <v>384</v>
      </c>
      <c r="G306" t="s">
        <v>173</v>
      </c>
    </row>
    <row r="307" spans="1:7" ht="15.6">
      <c r="A307" s="6" t="s">
        <v>1102</v>
      </c>
      <c r="B307" s="6" t="s">
        <v>577</v>
      </c>
      <c r="C307" s="7" t="s">
        <v>1103</v>
      </c>
      <c r="D307" s="7" t="s">
        <v>1104</v>
      </c>
      <c r="E307" s="6" t="s">
        <v>844</v>
      </c>
      <c r="F307" s="7" t="s">
        <v>384</v>
      </c>
      <c r="G307" t="s">
        <v>173</v>
      </c>
    </row>
    <row r="308" spans="1:7" ht="15.6">
      <c r="A308" s="6" t="s">
        <v>1509</v>
      </c>
      <c r="B308" s="6" t="s">
        <v>577</v>
      </c>
      <c r="C308" s="7" t="s">
        <v>1510</v>
      </c>
      <c r="D308" s="7" t="s">
        <v>1511</v>
      </c>
      <c r="E308" s="6" t="s">
        <v>1512</v>
      </c>
      <c r="F308" s="7" t="s">
        <v>466</v>
      </c>
      <c r="G308" t="s">
        <v>191</v>
      </c>
    </row>
    <row r="309" spans="1:7" ht="15.6">
      <c r="A309" s="6" t="s">
        <v>1513</v>
      </c>
      <c r="B309" s="6" t="s">
        <v>577</v>
      </c>
      <c r="C309" s="7" t="s">
        <v>1514</v>
      </c>
      <c r="D309" s="7" t="s">
        <v>1515</v>
      </c>
      <c r="E309" s="6" t="s">
        <v>1516</v>
      </c>
      <c r="F309" s="7" t="s">
        <v>558</v>
      </c>
      <c r="G309" t="s">
        <v>203</v>
      </c>
    </row>
    <row r="310" spans="1:7" ht="15.6">
      <c r="A310" s="6" t="s">
        <v>1517</v>
      </c>
      <c r="B310" s="6" t="s">
        <v>577</v>
      </c>
      <c r="C310" s="7" t="s">
        <v>628</v>
      </c>
      <c r="D310" s="7" t="s">
        <v>1518</v>
      </c>
      <c r="E310" s="6" t="s">
        <v>1519</v>
      </c>
      <c r="F310" s="7" t="s">
        <v>385</v>
      </c>
      <c r="G310" t="s">
        <v>173</v>
      </c>
    </row>
    <row r="311" spans="1:7" ht="15.6">
      <c r="A311" s="6" t="s">
        <v>1520</v>
      </c>
      <c r="B311" s="6" t="s">
        <v>577</v>
      </c>
      <c r="C311" s="7" t="s">
        <v>1521</v>
      </c>
      <c r="D311" s="7" t="s">
        <v>1522</v>
      </c>
      <c r="E311" s="6" t="s">
        <v>1519</v>
      </c>
      <c r="F311" s="7" t="s">
        <v>385</v>
      </c>
      <c r="G311" t="s">
        <v>173</v>
      </c>
    </row>
    <row r="312" spans="1:7" ht="15.6">
      <c r="A312" s="6" t="s">
        <v>1523</v>
      </c>
      <c r="B312" s="6" t="s">
        <v>577</v>
      </c>
      <c r="C312" s="7" t="s">
        <v>1524</v>
      </c>
      <c r="D312" s="7" t="s">
        <v>1525</v>
      </c>
      <c r="E312" s="6" t="s">
        <v>1519</v>
      </c>
      <c r="F312" s="7" t="s">
        <v>385</v>
      </c>
      <c r="G312" t="s">
        <v>173</v>
      </c>
    </row>
    <row r="313" spans="1:7" ht="15.6">
      <c r="A313" s="6" t="s">
        <v>1526</v>
      </c>
      <c r="B313" s="6" t="s">
        <v>577</v>
      </c>
      <c r="C313" s="7">
        <v>36667483</v>
      </c>
      <c r="D313" s="7" t="s">
        <v>1527</v>
      </c>
      <c r="E313" s="6" t="s">
        <v>844</v>
      </c>
      <c r="F313" s="7" t="s">
        <v>386</v>
      </c>
      <c r="G313" t="s">
        <v>173</v>
      </c>
    </row>
    <row r="314" spans="1:7" ht="15.6">
      <c r="A314" s="6" t="s">
        <v>1528</v>
      </c>
      <c r="B314" s="6" t="s">
        <v>577</v>
      </c>
      <c r="C314" s="7" t="s">
        <v>1529</v>
      </c>
      <c r="D314" s="7" t="s">
        <v>1530</v>
      </c>
      <c r="E314" s="6" t="s">
        <v>844</v>
      </c>
      <c r="F314" s="7" t="s">
        <v>467</v>
      </c>
      <c r="G314" t="s">
        <v>191</v>
      </c>
    </row>
    <row r="315" spans="1:7" ht="15.6">
      <c r="A315" s="6" t="s">
        <v>1531</v>
      </c>
      <c r="B315" s="6" t="s">
        <v>577</v>
      </c>
      <c r="C315" s="7" t="s">
        <v>1532</v>
      </c>
      <c r="D315" s="7" t="s">
        <v>1533</v>
      </c>
      <c r="E315" s="6" t="s">
        <v>1534</v>
      </c>
      <c r="F315" s="7" t="s">
        <v>559</v>
      </c>
      <c r="G315" t="s">
        <v>203</v>
      </c>
    </row>
    <row r="316" spans="1:7" ht="15.6">
      <c r="A316" s="6" t="s">
        <v>1535</v>
      </c>
      <c r="B316" s="6" t="s">
        <v>577</v>
      </c>
      <c r="C316" s="7" t="s">
        <v>1536</v>
      </c>
      <c r="D316" s="7" t="s">
        <v>1537</v>
      </c>
      <c r="E316" s="6" t="s">
        <v>844</v>
      </c>
      <c r="F316" s="7" t="s">
        <v>468</v>
      </c>
      <c r="G316" t="s">
        <v>191</v>
      </c>
    </row>
    <row r="317" spans="1:7" ht="15.6">
      <c r="A317" s="6" t="s">
        <v>1538</v>
      </c>
      <c r="B317" s="6" t="s">
        <v>577</v>
      </c>
      <c r="C317" s="7" t="s">
        <v>1539</v>
      </c>
      <c r="D317" s="7" t="s">
        <v>1540</v>
      </c>
      <c r="E317" s="6" t="s">
        <v>844</v>
      </c>
      <c r="F317" s="7" t="s">
        <v>468</v>
      </c>
      <c r="G317" t="s">
        <v>191</v>
      </c>
    </row>
    <row r="318" spans="1:7" ht="15.6">
      <c r="A318" s="6" t="s">
        <v>1541</v>
      </c>
      <c r="B318" s="6" t="s">
        <v>577</v>
      </c>
      <c r="C318" s="7" t="s">
        <v>1542</v>
      </c>
      <c r="D318" s="7" t="s">
        <v>1543</v>
      </c>
      <c r="E318" s="6" t="s">
        <v>1544</v>
      </c>
      <c r="F318" s="7" t="s">
        <v>469</v>
      </c>
      <c r="G318" t="s">
        <v>191</v>
      </c>
    </row>
    <row r="319" spans="1:7" ht="15.6">
      <c r="A319" s="6" t="s">
        <v>1541</v>
      </c>
      <c r="B319" s="6" t="s">
        <v>577</v>
      </c>
      <c r="C319" s="7" t="s">
        <v>1545</v>
      </c>
      <c r="D319" s="7" t="s">
        <v>1546</v>
      </c>
      <c r="E319" s="6" t="s">
        <v>1544</v>
      </c>
      <c r="F319" s="7" t="s">
        <v>469</v>
      </c>
      <c r="G319" t="s">
        <v>191</v>
      </c>
    </row>
    <row r="320" spans="1:7" ht="15.6">
      <c r="A320" s="6" t="s">
        <v>1547</v>
      </c>
      <c r="B320" s="6" t="s">
        <v>577</v>
      </c>
      <c r="C320" s="7" t="s">
        <v>1548</v>
      </c>
      <c r="D320" s="7" t="s">
        <v>1549</v>
      </c>
      <c r="E320" s="6" t="s">
        <v>844</v>
      </c>
      <c r="F320" s="7" t="s">
        <v>470</v>
      </c>
      <c r="G320" t="s">
        <v>191</v>
      </c>
    </row>
    <row r="321" spans="1:7" ht="15.6">
      <c r="A321" s="6" t="s">
        <v>1550</v>
      </c>
      <c r="B321" s="6" t="s">
        <v>577</v>
      </c>
      <c r="C321" s="7" t="s">
        <v>1551</v>
      </c>
      <c r="D321" s="7" t="s">
        <v>1552</v>
      </c>
      <c r="E321" s="6" t="s">
        <v>1044</v>
      </c>
      <c r="F321" s="7" t="s">
        <v>327</v>
      </c>
      <c r="G321" t="s">
        <v>245</v>
      </c>
    </row>
    <row r="322" spans="1:7" ht="15.6">
      <c r="A322" s="6" t="s">
        <v>1553</v>
      </c>
      <c r="B322" s="6" t="s">
        <v>577</v>
      </c>
      <c r="C322" s="7" t="s">
        <v>1554</v>
      </c>
      <c r="D322" s="7" t="s">
        <v>1555</v>
      </c>
      <c r="E322" s="6" t="s">
        <v>727</v>
      </c>
      <c r="F322" s="7" t="s">
        <v>387</v>
      </c>
      <c r="G322" t="s">
        <v>173</v>
      </c>
    </row>
    <row r="323" spans="1:7" ht="15.6">
      <c r="A323" s="6" t="s">
        <v>1556</v>
      </c>
      <c r="B323" s="6" t="s">
        <v>577</v>
      </c>
      <c r="C323" s="7" t="s">
        <v>1557</v>
      </c>
      <c r="D323" s="7" t="s">
        <v>1558</v>
      </c>
      <c r="E323" s="6" t="s">
        <v>671</v>
      </c>
      <c r="F323" s="7" t="s">
        <v>328</v>
      </c>
      <c r="G323" t="s">
        <v>166</v>
      </c>
    </row>
    <row r="324" spans="1:7" ht="15.6">
      <c r="A324" s="6" t="s">
        <v>1559</v>
      </c>
      <c r="B324" s="6" t="s">
        <v>577</v>
      </c>
      <c r="C324" s="7" t="s">
        <v>1560</v>
      </c>
      <c r="D324" s="7" t="s">
        <v>1561</v>
      </c>
      <c r="E324" s="6" t="s">
        <v>986</v>
      </c>
      <c r="F324" s="7" t="s">
        <v>329</v>
      </c>
      <c r="G324" t="s">
        <v>166</v>
      </c>
    </row>
    <row r="325" spans="1:7" ht="15.6">
      <c r="A325" s="6" t="s">
        <v>1562</v>
      </c>
      <c r="B325" s="6" t="s">
        <v>577</v>
      </c>
      <c r="C325" s="7" t="s">
        <v>628</v>
      </c>
      <c r="D325" s="7" t="s">
        <v>1563</v>
      </c>
      <c r="E325" s="6" t="s">
        <v>844</v>
      </c>
      <c r="F325" s="7" t="s">
        <v>330</v>
      </c>
      <c r="G325" t="s">
        <v>166</v>
      </c>
    </row>
    <row r="326" spans="1:7" ht="15.6">
      <c r="A326" s="6" t="s">
        <v>1564</v>
      </c>
      <c r="B326" s="6" t="s">
        <v>577</v>
      </c>
      <c r="C326" s="7" t="s">
        <v>628</v>
      </c>
      <c r="D326" s="7" t="s">
        <v>1565</v>
      </c>
      <c r="E326" s="6" t="s">
        <v>844</v>
      </c>
      <c r="F326" s="7" t="s">
        <v>330</v>
      </c>
      <c r="G326" t="s">
        <v>166</v>
      </c>
    </row>
    <row r="327" spans="1:7" ht="15.6">
      <c r="A327" s="6" t="s">
        <v>1566</v>
      </c>
      <c r="B327" s="6" t="s">
        <v>577</v>
      </c>
      <c r="C327" s="7" t="s">
        <v>1567</v>
      </c>
      <c r="D327" s="7" t="s">
        <v>1568</v>
      </c>
      <c r="E327" s="6" t="s">
        <v>844</v>
      </c>
      <c r="F327" s="7" t="s">
        <v>330</v>
      </c>
      <c r="G327" t="s">
        <v>166</v>
      </c>
    </row>
    <row r="328" spans="1:7" ht="15.6">
      <c r="A328" s="6" t="s">
        <v>1569</v>
      </c>
      <c r="B328" s="6" t="s">
        <v>577</v>
      </c>
      <c r="C328" s="7" t="s">
        <v>628</v>
      </c>
      <c r="D328" s="7" t="s">
        <v>1570</v>
      </c>
      <c r="E328" s="6" t="s">
        <v>844</v>
      </c>
      <c r="F328" s="7" t="s">
        <v>330</v>
      </c>
      <c r="G328" t="s">
        <v>166</v>
      </c>
    </row>
    <row r="329" spans="1:7" ht="15.6">
      <c r="A329" s="6" t="s">
        <v>1571</v>
      </c>
      <c r="B329" s="6" t="s">
        <v>577</v>
      </c>
      <c r="C329" s="7" t="s">
        <v>628</v>
      </c>
      <c r="D329" s="7" t="s">
        <v>1572</v>
      </c>
      <c r="E329" s="6" t="s">
        <v>844</v>
      </c>
      <c r="F329" s="7" t="s">
        <v>330</v>
      </c>
      <c r="G329" t="s">
        <v>166</v>
      </c>
    </row>
    <row r="330" spans="1:7" ht="15.6">
      <c r="A330" s="6" t="s">
        <v>1573</v>
      </c>
      <c r="B330" s="6" t="s">
        <v>577</v>
      </c>
      <c r="C330" s="7" t="s">
        <v>1574</v>
      </c>
      <c r="D330" s="7" t="s">
        <v>1575</v>
      </c>
      <c r="E330" s="6" t="s">
        <v>1576</v>
      </c>
      <c r="F330" s="7" t="s">
        <v>532</v>
      </c>
      <c r="G330" t="s">
        <v>206</v>
      </c>
    </row>
    <row r="331" spans="1:7" ht="15.6">
      <c r="A331" s="6" t="s">
        <v>1577</v>
      </c>
      <c r="B331" s="6" t="s">
        <v>577</v>
      </c>
      <c r="C331" s="7" t="s">
        <v>1578</v>
      </c>
      <c r="D331" s="7" t="s">
        <v>1579</v>
      </c>
      <c r="E331" s="6" t="s">
        <v>844</v>
      </c>
      <c r="F331" s="7" t="s">
        <v>388</v>
      </c>
      <c r="G331" t="s">
        <v>173</v>
      </c>
    </row>
    <row r="332" spans="1:7" ht="15.6">
      <c r="A332" s="6" t="s">
        <v>1580</v>
      </c>
      <c r="B332" s="6" t="s">
        <v>651</v>
      </c>
      <c r="C332" s="7" t="s">
        <v>1581</v>
      </c>
      <c r="D332" s="7" t="s">
        <v>1582</v>
      </c>
      <c r="E332" s="6" t="s">
        <v>844</v>
      </c>
      <c r="F332" s="7" t="s">
        <v>471</v>
      </c>
      <c r="G332" t="s">
        <v>191</v>
      </c>
    </row>
    <row r="333" spans="1:7" ht="15.6">
      <c r="A333" s="6" t="s">
        <v>1583</v>
      </c>
      <c r="B333" s="6" t="s">
        <v>577</v>
      </c>
      <c r="C333" s="7" t="s">
        <v>1584</v>
      </c>
      <c r="D333" s="7" t="s">
        <v>1585</v>
      </c>
      <c r="E333" s="6" t="s">
        <v>844</v>
      </c>
      <c r="F333" s="7" t="s">
        <v>471</v>
      </c>
      <c r="G333" t="s">
        <v>191</v>
      </c>
    </row>
    <row r="334" spans="1:7" ht="15.6">
      <c r="A334" s="6" t="s">
        <v>1586</v>
      </c>
      <c r="B334" s="6" t="s">
        <v>577</v>
      </c>
      <c r="C334" s="7" t="s">
        <v>1587</v>
      </c>
      <c r="D334" s="7" t="s">
        <v>1588</v>
      </c>
      <c r="E334" s="6" t="s">
        <v>844</v>
      </c>
      <c r="F334" s="7" t="s">
        <v>471</v>
      </c>
      <c r="G334" t="s">
        <v>191</v>
      </c>
    </row>
    <row r="335" spans="1:7" ht="15.6">
      <c r="A335" s="6" t="s">
        <v>1589</v>
      </c>
      <c r="B335" s="6" t="s">
        <v>577</v>
      </c>
      <c r="C335" s="7" t="s">
        <v>1590</v>
      </c>
      <c r="D335" s="7" t="s">
        <v>1591</v>
      </c>
      <c r="E335" s="6" t="s">
        <v>870</v>
      </c>
      <c r="F335" s="7" t="s">
        <v>331</v>
      </c>
      <c r="G335" t="s">
        <v>166</v>
      </c>
    </row>
    <row r="336" spans="1:7" ht="15.6">
      <c r="A336" s="6" t="s">
        <v>1592</v>
      </c>
      <c r="B336" s="6" t="s">
        <v>577</v>
      </c>
      <c r="C336" s="7" t="s">
        <v>1593</v>
      </c>
      <c r="D336" s="7" t="s">
        <v>1594</v>
      </c>
      <c r="E336" s="6" t="s">
        <v>870</v>
      </c>
      <c r="F336" s="7" t="s">
        <v>331</v>
      </c>
      <c r="G336" t="s">
        <v>166</v>
      </c>
    </row>
    <row r="337" spans="1:7" ht="15.6">
      <c r="A337" s="6" t="s">
        <v>1595</v>
      </c>
      <c r="B337" s="6" t="s">
        <v>577</v>
      </c>
      <c r="C337" s="7" t="s">
        <v>1596</v>
      </c>
      <c r="D337" s="7" t="s">
        <v>1597</v>
      </c>
      <c r="E337" s="6" t="s">
        <v>870</v>
      </c>
      <c r="F337" s="7" t="s">
        <v>331</v>
      </c>
      <c r="G337" t="s">
        <v>166</v>
      </c>
    </row>
    <row r="338" spans="1:7" ht="15.6">
      <c r="A338" s="6" t="s">
        <v>1598</v>
      </c>
      <c r="B338" s="6" t="s">
        <v>577</v>
      </c>
      <c r="C338" s="7" t="s">
        <v>1599</v>
      </c>
      <c r="D338" s="7" t="s">
        <v>1600</v>
      </c>
      <c r="E338" s="6" t="s">
        <v>844</v>
      </c>
      <c r="F338" s="7" t="s">
        <v>332</v>
      </c>
      <c r="G338" t="s">
        <v>166</v>
      </c>
    </row>
    <row r="339" spans="1:7" ht="15.6">
      <c r="A339" s="6" t="s">
        <v>1601</v>
      </c>
      <c r="B339" s="6" t="s">
        <v>577</v>
      </c>
      <c r="C339" s="7" t="s">
        <v>628</v>
      </c>
      <c r="D339" s="7" t="s">
        <v>1602</v>
      </c>
      <c r="E339" s="6" t="s">
        <v>591</v>
      </c>
      <c r="F339" s="7" t="s">
        <v>333</v>
      </c>
      <c r="G339" t="s">
        <v>166</v>
      </c>
    </row>
    <row r="340" spans="1:7" ht="15.6">
      <c r="A340" s="6" t="s">
        <v>1603</v>
      </c>
      <c r="B340" s="6" t="s">
        <v>577</v>
      </c>
      <c r="C340" s="7" t="s">
        <v>1604</v>
      </c>
      <c r="D340" s="7" t="s">
        <v>1605</v>
      </c>
      <c r="E340" s="6" t="s">
        <v>591</v>
      </c>
      <c r="F340" s="7" t="s">
        <v>333</v>
      </c>
      <c r="G340" t="s">
        <v>166</v>
      </c>
    </row>
    <row r="341" spans="1:7" ht="15.6">
      <c r="A341" s="6" t="s">
        <v>1606</v>
      </c>
      <c r="B341" s="6" t="s">
        <v>577</v>
      </c>
      <c r="C341" s="7" t="s">
        <v>1607</v>
      </c>
      <c r="D341" s="7" t="s">
        <v>1608</v>
      </c>
      <c r="E341" s="6" t="s">
        <v>844</v>
      </c>
      <c r="F341" s="7" t="s">
        <v>472</v>
      </c>
      <c r="G341" t="s">
        <v>191</v>
      </c>
    </row>
    <row r="342" spans="1:7" ht="15.6">
      <c r="A342" s="6" t="s">
        <v>1609</v>
      </c>
      <c r="B342" s="6" t="s">
        <v>577</v>
      </c>
      <c r="C342" s="7" t="s">
        <v>1610</v>
      </c>
      <c r="D342" s="7" t="s">
        <v>1611</v>
      </c>
      <c r="E342" s="6" t="s">
        <v>1092</v>
      </c>
      <c r="F342" s="7" t="s">
        <v>172</v>
      </c>
      <c r="G342" t="s">
        <v>159</v>
      </c>
    </row>
    <row r="343" spans="1:7" ht="15.6">
      <c r="A343" s="6" t="s">
        <v>1612</v>
      </c>
      <c r="B343" s="6" t="s">
        <v>577</v>
      </c>
      <c r="C343" s="7" t="s">
        <v>1613</v>
      </c>
      <c r="D343" s="7" t="s">
        <v>1614</v>
      </c>
      <c r="E343" s="6" t="s">
        <v>1092</v>
      </c>
      <c r="F343" s="7" t="s">
        <v>172</v>
      </c>
      <c r="G343" t="s">
        <v>159</v>
      </c>
    </row>
    <row r="344" spans="1:7" ht="15.6">
      <c r="A344" s="6" t="s">
        <v>1615</v>
      </c>
      <c r="B344" s="6" t="s">
        <v>577</v>
      </c>
      <c r="C344" s="7" t="s">
        <v>1616</v>
      </c>
      <c r="D344" s="7" t="s">
        <v>1617</v>
      </c>
      <c r="E344" s="6" t="s">
        <v>1092</v>
      </c>
      <c r="F344" s="7" t="s">
        <v>172</v>
      </c>
      <c r="G344" t="s">
        <v>159</v>
      </c>
    </row>
    <row r="345" spans="1:7" ht="15.6">
      <c r="A345" s="6" t="s">
        <v>1618</v>
      </c>
      <c r="B345" s="6" t="s">
        <v>577</v>
      </c>
      <c r="C345" s="7" t="s">
        <v>1619</v>
      </c>
      <c r="D345" s="7" t="s">
        <v>1620</v>
      </c>
      <c r="E345" s="6" t="s">
        <v>1092</v>
      </c>
      <c r="F345" s="7" t="s">
        <v>172</v>
      </c>
      <c r="G345" t="s">
        <v>159</v>
      </c>
    </row>
    <row r="346" spans="1:7" ht="15.6">
      <c r="A346" s="6" t="s">
        <v>1621</v>
      </c>
      <c r="B346" s="6" t="s">
        <v>577</v>
      </c>
      <c r="C346" s="7" t="s">
        <v>1622</v>
      </c>
      <c r="D346" s="7" t="s">
        <v>1623</v>
      </c>
      <c r="E346" s="6" t="s">
        <v>1056</v>
      </c>
      <c r="F346" s="7" t="s">
        <v>334</v>
      </c>
      <c r="G346" t="s">
        <v>166</v>
      </c>
    </row>
    <row r="347" spans="1:7" ht="15.6">
      <c r="A347" s="6" t="s">
        <v>1624</v>
      </c>
      <c r="B347" s="6" t="s">
        <v>577</v>
      </c>
      <c r="C347" s="7" t="s">
        <v>1625</v>
      </c>
      <c r="D347" s="7" t="s">
        <v>1626</v>
      </c>
      <c r="E347" s="6" t="s">
        <v>1056</v>
      </c>
      <c r="F347" s="7" t="s">
        <v>334</v>
      </c>
      <c r="G347" t="s">
        <v>166</v>
      </c>
    </row>
    <row r="348" spans="1:7" ht="15.6">
      <c r="A348" s="6" t="s">
        <v>1627</v>
      </c>
      <c r="B348" s="6" t="s">
        <v>577</v>
      </c>
      <c r="C348" s="7" t="s">
        <v>1628</v>
      </c>
      <c r="D348" s="7" t="s">
        <v>1629</v>
      </c>
      <c r="E348" s="6" t="s">
        <v>1630</v>
      </c>
      <c r="F348" s="7" t="s">
        <v>335</v>
      </c>
      <c r="G348" t="s">
        <v>166</v>
      </c>
    </row>
    <row r="349" spans="1:7" ht="15.6">
      <c r="A349" s="6" t="s">
        <v>1631</v>
      </c>
      <c r="B349" s="6" t="s">
        <v>577</v>
      </c>
      <c r="C349" s="7" t="s">
        <v>1632</v>
      </c>
      <c r="D349" s="7" t="s">
        <v>1633</v>
      </c>
      <c r="E349" s="6" t="s">
        <v>1630</v>
      </c>
      <c r="F349" s="7" t="s">
        <v>335</v>
      </c>
      <c r="G349" t="s">
        <v>166</v>
      </c>
    </row>
    <row r="350" spans="1:7" ht="15.6">
      <c r="A350" s="6" t="s">
        <v>1634</v>
      </c>
      <c r="B350" s="6" t="s">
        <v>577</v>
      </c>
      <c r="C350" s="7" t="s">
        <v>1635</v>
      </c>
      <c r="D350" s="7" t="s">
        <v>1636</v>
      </c>
      <c r="E350" s="6" t="s">
        <v>1630</v>
      </c>
      <c r="F350" s="7" t="s">
        <v>335</v>
      </c>
      <c r="G350" t="s">
        <v>166</v>
      </c>
    </row>
    <row r="351" spans="1:7" ht="15.6">
      <c r="A351" s="6" t="s">
        <v>1637</v>
      </c>
      <c r="B351" s="6" t="s">
        <v>577</v>
      </c>
      <c r="C351" s="7" t="s">
        <v>1635</v>
      </c>
      <c r="D351" s="7" t="s">
        <v>1638</v>
      </c>
      <c r="E351" s="6" t="s">
        <v>1630</v>
      </c>
      <c r="F351" s="7" t="s">
        <v>335</v>
      </c>
      <c r="G351" t="s">
        <v>166</v>
      </c>
    </row>
    <row r="352" spans="1:7" ht="15.6">
      <c r="A352" s="6" t="s">
        <v>1639</v>
      </c>
      <c r="B352" s="6" t="s">
        <v>577</v>
      </c>
      <c r="C352" s="7" t="s">
        <v>1640</v>
      </c>
      <c r="D352" s="7" t="s">
        <v>1641</v>
      </c>
      <c r="E352" s="6" t="s">
        <v>1630</v>
      </c>
      <c r="F352" s="7" t="s">
        <v>335</v>
      </c>
      <c r="G352" t="s">
        <v>166</v>
      </c>
    </row>
    <row r="353" spans="1:7" ht="15.6">
      <c r="A353" s="6" t="s">
        <v>1642</v>
      </c>
      <c r="B353" s="6" t="s">
        <v>577</v>
      </c>
      <c r="C353" s="7" t="s">
        <v>1643</v>
      </c>
      <c r="D353" s="7" t="s">
        <v>1644</v>
      </c>
      <c r="E353" s="6" t="s">
        <v>1630</v>
      </c>
      <c r="F353" s="7" t="s">
        <v>335</v>
      </c>
      <c r="G353" t="s">
        <v>166</v>
      </c>
    </row>
    <row r="354" spans="1:7" ht="15.6">
      <c r="A354" s="6" t="s">
        <v>1645</v>
      </c>
      <c r="B354" s="6" t="s">
        <v>577</v>
      </c>
      <c r="C354" s="7" t="s">
        <v>1646</v>
      </c>
      <c r="D354" s="7" t="s">
        <v>1647</v>
      </c>
      <c r="E354" s="6" t="s">
        <v>1281</v>
      </c>
      <c r="F354" s="7" t="s">
        <v>336</v>
      </c>
      <c r="G354" t="s">
        <v>166</v>
      </c>
    </row>
    <row r="355" spans="1:7" ht="15.6">
      <c r="A355" s="6" t="s">
        <v>1648</v>
      </c>
      <c r="B355" s="6" t="s">
        <v>577</v>
      </c>
      <c r="C355" s="7" t="s">
        <v>1649</v>
      </c>
      <c r="D355" s="7" t="s">
        <v>1650</v>
      </c>
      <c r="E355" s="6" t="s">
        <v>1281</v>
      </c>
      <c r="F355" s="7" t="s">
        <v>336</v>
      </c>
      <c r="G355" t="s">
        <v>166</v>
      </c>
    </row>
    <row r="356" spans="1:7" ht="15.6">
      <c r="A356" s="6" t="s">
        <v>1651</v>
      </c>
      <c r="B356" s="6" t="s">
        <v>577</v>
      </c>
      <c r="C356" s="7" t="s">
        <v>1652</v>
      </c>
      <c r="D356" s="7" t="s">
        <v>1653</v>
      </c>
      <c r="E356" s="6" t="s">
        <v>1281</v>
      </c>
      <c r="F356" s="7" t="s">
        <v>336</v>
      </c>
      <c r="G356" t="s">
        <v>166</v>
      </c>
    </row>
    <row r="357" spans="1:7" ht="15.6">
      <c r="A357" s="6" t="s">
        <v>1654</v>
      </c>
      <c r="B357" s="6" t="s">
        <v>577</v>
      </c>
      <c r="C357" s="7" t="s">
        <v>1655</v>
      </c>
      <c r="D357" s="7" t="s">
        <v>1656</v>
      </c>
      <c r="E357" s="6"/>
      <c r="F357" s="7" t="s">
        <v>473</v>
      </c>
      <c r="G357" t="s">
        <v>191</v>
      </c>
    </row>
    <row r="358" spans="1:7" ht="15.6">
      <c r="A358" s="6" t="s">
        <v>1657</v>
      </c>
      <c r="B358" s="6" t="s">
        <v>577</v>
      </c>
      <c r="C358" s="7" t="s">
        <v>1658</v>
      </c>
      <c r="D358" s="7" t="s">
        <v>1659</v>
      </c>
      <c r="E358" s="6" t="s">
        <v>1660</v>
      </c>
      <c r="F358" s="7" t="s">
        <v>389</v>
      </c>
      <c r="G358" t="s">
        <v>173</v>
      </c>
    </row>
    <row r="359" spans="1:7" ht="15.6">
      <c r="A359" s="6" t="s">
        <v>1661</v>
      </c>
      <c r="B359" s="6" t="s">
        <v>577</v>
      </c>
      <c r="C359" s="7" t="s">
        <v>1662</v>
      </c>
      <c r="D359" s="7" t="s">
        <v>1663</v>
      </c>
      <c r="E359" s="6" t="s">
        <v>1660</v>
      </c>
      <c r="F359" s="7" t="s">
        <v>389</v>
      </c>
      <c r="G359" t="s">
        <v>173</v>
      </c>
    </row>
    <row r="360" spans="1:7" ht="15.6">
      <c r="A360" s="6" t="s">
        <v>1664</v>
      </c>
      <c r="B360" s="6" t="s">
        <v>577</v>
      </c>
      <c r="C360" s="7" t="s">
        <v>1665</v>
      </c>
      <c r="D360" s="7" t="s">
        <v>1666</v>
      </c>
      <c r="E360" s="6" t="s">
        <v>1660</v>
      </c>
      <c r="F360" s="7" t="s">
        <v>390</v>
      </c>
      <c r="G360" t="s">
        <v>173</v>
      </c>
    </row>
    <row r="361" spans="1:7" ht="15.6">
      <c r="A361" s="6" t="s">
        <v>1667</v>
      </c>
      <c r="B361" s="6" t="s">
        <v>577</v>
      </c>
      <c r="C361" s="7" t="s">
        <v>1668</v>
      </c>
      <c r="D361" s="7" t="s">
        <v>1669</v>
      </c>
      <c r="E361" s="6" t="s">
        <v>591</v>
      </c>
      <c r="F361" s="7" t="s">
        <v>391</v>
      </c>
      <c r="G361" t="s">
        <v>173</v>
      </c>
    </row>
    <row r="362" spans="1:7" ht="15.6">
      <c r="A362" s="6" t="s">
        <v>1670</v>
      </c>
      <c r="B362" s="6" t="s">
        <v>577</v>
      </c>
      <c r="C362" s="7" t="s">
        <v>1671</v>
      </c>
      <c r="D362" s="7" t="s">
        <v>1672</v>
      </c>
      <c r="E362" s="6" t="s">
        <v>844</v>
      </c>
      <c r="F362" s="7" t="s">
        <v>337</v>
      </c>
      <c r="G362" t="s">
        <v>166</v>
      </c>
    </row>
    <row r="363" spans="1:7" ht="15.6">
      <c r="A363" s="6" t="s">
        <v>576</v>
      </c>
      <c r="B363" s="6" t="s">
        <v>577</v>
      </c>
      <c r="C363" s="7" t="s">
        <v>1673</v>
      </c>
      <c r="D363" s="7" t="s">
        <v>1674</v>
      </c>
      <c r="E363" s="6" t="s">
        <v>905</v>
      </c>
      <c r="F363" s="7" t="s">
        <v>474</v>
      </c>
      <c r="G363" t="s">
        <v>191</v>
      </c>
    </row>
    <row r="364" spans="1:7" ht="15.6">
      <c r="A364" s="6" t="s">
        <v>1675</v>
      </c>
      <c r="B364" s="6" t="s">
        <v>577</v>
      </c>
      <c r="C364" s="7" t="s">
        <v>1676</v>
      </c>
      <c r="D364" s="7" t="s">
        <v>1677</v>
      </c>
      <c r="E364" s="6" t="s">
        <v>1678</v>
      </c>
      <c r="F364" s="7" t="s">
        <v>476</v>
      </c>
      <c r="G364" t="s">
        <v>191</v>
      </c>
    </row>
    <row r="365" spans="1:7" ht="15.6">
      <c r="A365" s="6" t="s">
        <v>1679</v>
      </c>
      <c r="B365" s="6" t="s">
        <v>577</v>
      </c>
      <c r="C365" s="7" t="s">
        <v>1680</v>
      </c>
      <c r="D365" s="7" t="s">
        <v>1681</v>
      </c>
      <c r="E365" s="6" t="s">
        <v>1678</v>
      </c>
      <c r="F365" s="7" t="s">
        <v>476</v>
      </c>
      <c r="G365" t="s">
        <v>191</v>
      </c>
    </row>
    <row r="366" spans="1:7" ht="15.6">
      <c r="A366" s="6" t="s">
        <v>1682</v>
      </c>
      <c r="B366" s="6" t="s">
        <v>577</v>
      </c>
      <c r="C366" s="7" t="s">
        <v>1683</v>
      </c>
      <c r="D366" s="7" t="s">
        <v>1684</v>
      </c>
      <c r="E366" s="6" t="s">
        <v>1678</v>
      </c>
      <c r="F366" s="7" t="s">
        <v>476</v>
      </c>
      <c r="G366" t="s">
        <v>191</v>
      </c>
    </row>
    <row r="367" spans="1:7" ht="15.6">
      <c r="A367" s="6" t="s">
        <v>1685</v>
      </c>
      <c r="B367" s="6" t="s">
        <v>577</v>
      </c>
      <c r="C367" s="7" t="s">
        <v>1686</v>
      </c>
      <c r="D367" s="7" t="s">
        <v>1687</v>
      </c>
      <c r="E367" s="6" t="s">
        <v>1678</v>
      </c>
      <c r="F367" s="7" t="s">
        <v>476</v>
      </c>
      <c r="G367" t="s">
        <v>191</v>
      </c>
    </row>
    <row r="368" spans="1:7" ht="15.6">
      <c r="A368" s="6" t="s">
        <v>1688</v>
      </c>
      <c r="B368" s="6" t="s">
        <v>577</v>
      </c>
      <c r="C368" s="7" t="s">
        <v>1689</v>
      </c>
      <c r="D368" s="7" t="s">
        <v>1690</v>
      </c>
      <c r="E368" s="6" t="s">
        <v>1678</v>
      </c>
      <c r="F368" s="7" t="s">
        <v>476</v>
      </c>
      <c r="G368" t="s">
        <v>191</v>
      </c>
    </row>
    <row r="369" spans="1:7" ht="15.6">
      <c r="A369" s="6" t="s">
        <v>1691</v>
      </c>
      <c r="B369" s="6" t="s">
        <v>577</v>
      </c>
      <c r="C369" s="7" t="s">
        <v>1692</v>
      </c>
      <c r="D369" s="7" t="s">
        <v>1693</v>
      </c>
      <c r="E369" s="6" t="s">
        <v>727</v>
      </c>
      <c r="F369" s="7" t="s">
        <v>338</v>
      </c>
      <c r="G369" t="s">
        <v>166</v>
      </c>
    </row>
    <row r="370" spans="1:7" ht="15.6">
      <c r="A370" s="6" t="s">
        <v>1694</v>
      </c>
      <c r="B370" s="6" t="s">
        <v>577</v>
      </c>
      <c r="C370" s="7" t="s">
        <v>1695</v>
      </c>
      <c r="D370" s="7" t="s">
        <v>1696</v>
      </c>
      <c r="E370" s="6" t="s">
        <v>1308</v>
      </c>
      <c r="F370" s="7" t="s">
        <v>339</v>
      </c>
      <c r="G370" t="s">
        <v>166</v>
      </c>
    </row>
    <row r="371" spans="1:7" ht="15.6">
      <c r="A371" s="6" t="s">
        <v>1697</v>
      </c>
      <c r="B371" s="6" t="s">
        <v>577</v>
      </c>
      <c r="C371" s="7" t="s">
        <v>1698</v>
      </c>
      <c r="D371" s="7" t="s">
        <v>1699</v>
      </c>
      <c r="E371" s="6" t="s">
        <v>1308</v>
      </c>
      <c r="F371" s="7" t="s">
        <v>339</v>
      </c>
      <c r="G371" t="s">
        <v>166</v>
      </c>
    </row>
    <row r="372" spans="1:7" ht="15.6">
      <c r="A372" s="6" t="s">
        <v>1700</v>
      </c>
      <c r="B372" s="6" t="s">
        <v>577</v>
      </c>
      <c r="C372" s="7" t="s">
        <v>1701</v>
      </c>
      <c r="D372" s="7" t="s">
        <v>1702</v>
      </c>
      <c r="E372" s="6" t="s">
        <v>727</v>
      </c>
      <c r="F372" s="7" t="s">
        <v>478</v>
      </c>
      <c r="G372" t="s">
        <v>191</v>
      </c>
    </row>
    <row r="373" spans="1:7" ht="15.6">
      <c r="A373" s="6" t="s">
        <v>161</v>
      </c>
      <c r="B373" s="6" t="s">
        <v>577</v>
      </c>
      <c r="C373" s="7" t="s">
        <v>1703</v>
      </c>
      <c r="D373" s="7" t="s">
        <v>164</v>
      </c>
      <c r="E373" s="6" t="s">
        <v>1704</v>
      </c>
      <c r="F373" s="7" t="s">
        <v>512</v>
      </c>
      <c r="G373" s="3" t="s">
        <v>197</v>
      </c>
    </row>
    <row r="374" spans="1:7" ht="15.6">
      <c r="A374" s="6" t="s">
        <v>175</v>
      </c>
      <c r="B374" s="6" t="s">
        <v>577</v>
      </c>
      <c r="C374" s="7" t="s">
        <v>1705</v>
      </c>
      <c r="D374" s="7" t="s">
        <v>178</v>
      </c>
      <c r="E374" s="6" t="s">
        <v>1704</v>
      </c>
      <c r="F374" s="7" t="s">
        <v>512</v>
      </c>
      <c r="G374" s="3" t="s">
        <v>197</v>
      </c>
    </row>
    <row r="375" spans="1:7" ht="15.6">
      <c r="A375" s="6" t="s">
        <v>186</v>
      </c>
      <c r="B375" s="6" t="s">
        <v>651</v>
      </c>
      <c r="C375" s="7" t="s">
        <v>1706</v>
      </c>
      <c r="D375" s="7" t="s">
        <v>189</v>
      </c>
      <c r="E375" s="6" t="s">
        <v>1704</v>
      </c>
      <c r="F375" s="7" t="s">
        <v>512</v>
      </c>
      <c r="G375" s="3" t="s">
        <v>197</v>
      </c>
    </row>
    <row r="376" spans="1:7" ht="15.6">
      <c r="A376" s="6" t="s">
        <v>1707</v>
      </c>
      <c r="B376" s="6" t="s">
        <v>577</v>
      </c>
      <c r="C376" s="7" t="s">
        <v>1708</v>
      </c>
      <c r="D376" s="7" t="s">
        <v>171</v>
      </c>
      <c r="E376" s="6" t="s">
        <v>1704</v>
      </c>
      <c r="F376" s="7" t="s">
        <v>512</v>
      </c>
      <c r="G376" s="3" t="s">
        <v>197</v>
      </c>
    </row>
    <row r="377" spans="1:7" ht="15.6">
      <c r="A377" s="6" t="s">
        <v>1709</v>
      </c>
      <c r="B377" s="6" t="s">
        <v>577</v>
      </c>
      <c r="C377" s="7" t="s">
        <v>1710</v>
      </c>
      <c r="D377" s="7" t="s">
        <v>1711</v>
      </c>
      <c r="E377" s="6" t="s">
        <v>1092</v>
      </c>
      <c r="F377" s="7" t="s">
        <v>340</v>
      </c>
      <c r="G377" t="s">
        <v>166</v>
      </c>
    </row>
    <row r="378" spans="1:7" ht="15.6">
      <c r="A378" s="6" t="s">
        <v>1712</v>
      </c>
      <c r="B378" s="6" t="s">
        <v>577</v>
      </c>
      <c r="C378" s="7" t="s">
        <v>1713</v>
      </c>
      <c r="D378" s="7" t="s">
        <v>1714</v>
      </c>
      <c r="E378" s="6" t="s">
        <v>1715</v>
      </c>
      <c r="F378" s="7" t="s">
        <v>392</v>
      </c>
      <c r="G378" t="s">
        <v>173</v>
      </c>
    </row>
    <row r="379" spans="1:7" ht="15.6">
      <c r="A379" s="6" t="s">
        <v>1716</v>
      </c>
      <c r="B379" s="6" t="s">
        <v>577</v>
      </c>
      <c r="C379" s="7" t="s">
        <v>1717</v>
      </c>
      <c r="D379" s="7" t="s">
        <v>1718</v>
      </c>
      <c r="E379" s="6" t="s">
        <v>844</v>
      </c>
      <c r="F379" s="7" t="s">
        <v>534</v>
      </c>
      <c r="G379" t="s">
        <v>206</v>
      </c>
    </row>
    <row r="380" spans="1:7" ht="15.6">
      <c r="A380" s="6" t="s">
        <v>1719</v>
      </c>
      <c r="B380" s="6" t="s">
        <v>577</v>
      </c>
      <c r="C380" s="7" t="s">
        <v>1720</v>
      </c>
      <c r="D380" s="7" t="s">
        <v>1721</v>
      </c>
      <c r="E380" s="6" t="s">
        <v>1092</v>
      </c>
      <c r="F380" s="7" t="s">
        <v>479</v>
      </c>
      <c r="G380" t="s">
        <v>191</v>
      </c>
    </row>
    <row r="381" spans="1:7" ht="15.6">
      <c r="A381" s="6" t="s">
        <v>1722</v>
      </c>
      <c r="B381" s="6" t="s">
        <v>577</v>
      </c>
      <c r="C381" s="7" t="s">
        <v>1723</v>
      </c>
      <c r="D381" s="7" t="s">
        <v>1724</v>
      </c>
      <c r="E381" s="6" t="s">
        <v>1725</v>
      </c>
      <c r="F381" s="7" t="s">
        <v>394</v>
      </c>
      <c r="G381" t="s">
        <v>173</v>
      </c>
    </row>
    <row r="382" spans="1:7" ht="15.6">
      <c r="A382" s="6" t="s">
        <v>1726</v>
      </c>
      <c r="B382" s="6" t="s">
        <v>577</v>
      </c>
      <c r="C382" s="7" t="s">
        <v>1727</v>
      </c>
      <c r="D382" s="7" t="s">
        <v>1728</v>
      </c>
      <c r="E382" s="6" t="s">
        <v>1725</v>
      </c>
      <c r="F382" s="7" t="s">
        <v>394</v>
      </c>
      <c r="G382" t="s">
        <v>173</v>
      </c>
    </row>
    <row r="383" spans="1:7" ht="15.6">
      <c r="A383" s="6" t="s">
        <v>1729</v>
      </c>
      <c r="B383" s="6" t="s">
        <v>577</v>
      </c>
      <c r="C383" s="7" t="s">
        <v>1730</v>
      </c>
      <c r="D383" s="7" t="s">
        <v>1731</v>
      </c>
      <c r="E383" s="6" t="s">
        <v>1725</v>
      </c>
      <c r="F383" s="7" t="s">
        <v>394</v>
      </c>
      <c r="G383" t="s">
        <v>173</v>
      </c>
    </row>
    <row r="384" spans="1:7" ht="15.6">
      <c r="A384" s="6" t="s">
        <v>1732</v>
      </c>
      <c r="B384" s="6" t="s">
        <v>577</v>
      </c>
      <c r="C384" s="7" t="s">
        <v>1733</v>
      </c>
      <c r="D384" s="7" t="s">
        <v>1734</v>
      </c>
      <c r="E384" s="6" t="s">
        <v>1725</v>
      </c>
      <c r="F384" s="7" t="s">
        <v>394</v>
      </c>
      <c r="G384" t="s">
        <v>173</v>
      </c>
    </row>
    <row r="385" spans="1:7" ht="15.6">
      <c r="A385" s="6" t="s">
        <v>1735</v>
      </c>
      <c r="B385" s="6" t="s">
        <v>577</v>
      </c>
      <c r="C385" s="7" t="s">
        <v>1736</v>
      </c>
      <c r="D385" s="7" t="s">
        <v>1737</v>
      </c>
      <c r="E385" s="6" t="s">
        <v>1308</v>
      </c>
      <c r="F385" s="7" t="s">
        <v>480</v>
      </c>
      <c r="G385" t="s">
        <v>191</v>
      </c>
    </row>
    <row r="386" spans="1:7" ht="15.6">
      <c r="A386" s="6" t="s">
        <v>1738</v>
      </c>
      <c r="B386" s="6" t="s">
        <v>577</v>
      </c>
      <c r="C386" s="7" t="s">
        <v>1739</v>
      </c>
      <c r="D386" s="7" t="s">
        <v>1740</v>
      </c>
      <c r="E386" s="6" t="s">
        <v>727</v>
      </c>
      <c r="F386" s="7" t="s">
        <v>408</v>
      </c>
      <c r="G386" t="s">
        <v>180</v>
      </c>
    </row>
    <row r="387" spans="1:7" ht="15.6">
      <c r="A387" s="6" t="s">
        <v>1741</v>
      </c>
      <c r="B387" s="6" t="s">
        <v>577</v>
      </c>
      <c r="C387" s="7" t="s">
        <v>1742</v>
      </c>
      <c r="D387" s="7" t="s">
        <v>1743</v>
      </c>
      <c r="E387" s="6" t="s">
        <v>1744</v>
      </c>
      <c r="F387" s="7" t="s">
        <v>481</v>
      </c>
      <c r="G387" t="s">
        <v>191</v>
      </c>
    </row>
    <row r="388" spans="1:7" ht="15.6">
      <c r="A388" s="6" t="s">
        <v>1745</v>
      </c>
      <c r="B388" s="6" t="s">
        <v>577</v>
      </c>
      <c r="C388" s="7" t="s">
        <v>1742</v>
      </c>
      <c r="D388" s="7" t="s">
        <v>1746</v>
      </c>
      <c r="E388" s="6" t="s">
        <v>1744</v>
      </c>
      <c r="F388" s="7" t="s">
        <v>481</v>
      </c>
      <c r="G388" t="s">
        <v>191</v>
      </c>
    </row>
    <row r="389" spans="1:7" ht="15.6">
      <c r="A389" s="6" t="s">
        <v>1747</v>
      </c>
      <c r="B389" s="6" t="s">
        <v>577</v>
      </c>
      <c r="C389" s="7" t="s">
        <v>1742</v>
      </c>
      <c r="D389" s="7" t="s">
        <v>1748</v>
      </c>
      <c r="E389" s="6" t="s">
        <v>1744</v>
      </c>
      <c r="F389" s="7" t="s">
        <v>481</v>
      </c>
      <c r="G389" t="s">
        <v>191</v>
      </c>
    </row>
    <row r="390" spans="1:7" ht="15.6">
      <c r="A390" s="6" t="s">
        <v>1749</v>
      </c>
      <c r="B390" s="6" t="s">
        <v>577</v>
      </c>
      <c r="C390" s="7" t="s">
        <v>1750</v>
      </c>
      <c r="D390" s="7" t="s">
        <v>1751</v>
      </c>
      <c r="E390" s="6" t="s">
        <v>1744</v>
      </c>
      <c r="F390" s="7" t="s">
        <v>481</v>
      </c>
      <c r="G390" t="s">
        <v>191</v>
      </c>
    </row>
    <row r="391" spans="1:7" ht="15.6">
      <c r="A391" s="6" t="s">
        <v>1752</v>
      </c>
      <c r="B391" s="6" t="s">
        <v>577</v>
      </c>
      <c r="C391" s="7" t="s">
        <v>1753</v>
      </c>
      <c r="D391" s="7" t="s">
        <v>1754</v>
      </c>
      <c r="E391" s="6" t="s">
        <v>1755</v>
      </c>
      <c r="F391" s="7" t="s">
        <v>341</v>
      </c>
      <c r="G391" t="s">
        <v>166</v>
      </c>
    </row>
    <row r="392" spans="1:7" ht="15.6">
      <c r="A392" s="6" t="s">
        <v>1756</v>
      </c>
      <c r="B392" s="6" t="s">
        <v>577</v>
      </c>
      <c r="C392" s="7" t="s">
        <v>1757</v>
      </c>
      <c r="D392" s="7" t="s">
        <v>1758</v>
      </c>
      <c r="E392" s="6" t="s">
        <v>591</v>
      </c>
      <c r="F392" s="7" t="s">
        <v>342</v>
      </c>
      <c r="G392" t="s">
        <v>166</v>
      </c>
    </row>
    <row r="393" spans="1:7" ht="15.6">
      <c r="A393" s="6" t="s">
        <v>1759</v>
      </c>
      <c r="B393" s="6" t="s">
        <v>577</v>
      </c>
      <c r="C393" s="7" t="s">
        <v>1760</v>
      </c>
      <c r="D393" s="7" t="s">
        <v>1761</v>
      </c>
      <c r="E393" s="6" t="s">
        <v>591</v>
      </c>
      <c r="F393" s="7" t="s">
        <v>342</v>
      </c>
      <c r="G393" t="s">
        <v>166</v>
      </c>
    </row>
    <row r="394" spans="1:7" ht="15.6">
      <c r="A394" s="6" t="s">
        <v>1762</v>
      </c>
      <c r="B394" s="6" t="s">
        <v>577</v>
      </c>
      <c r="C394" s="7" t="s">
        <v>628</v>
      </c>
      <c r="D394" s="7" t="s">
        <v>1763</v>
      </c>
      <c r="E394" s="6" t="s">
        <v>1764</v>
      </c>
      <c r="F394" s="7" t="s">
        <v>482</v>
      </c>
      <c r="G394" t="s">
        <v>191</v>
      </c>
    </row>
    <row r="395" spans="1:7" ht="15.6">
      <c r="A395" s="6" t="s">
        <v>1765</v>
      </c>
      <c r="B395" s="6" t="s">
        <v>577</v>
      </c>
      <c r="C395" s="7" t="s">
        <v>1766</v>
      </c>
      <c r="D395" s="7" t="s">
        <v>1767</v>
      </c>
      <c r="E395" s="6" t="s">
        <v>856</v>
      </c>
      <c r="F395" s="7" t="s">
        <v>537</v>
      </c>
      <c r="G395" t="s">
        <v>206</v>
      </c>
    </row>
    <row r="396" spans="1:7" ht="15.6">
      <c r="A396" s="6" t="s">
        <v>1768</v>
      </c>
      <c r="B396" s="6" t="s">
        <v>577</v>
      </c>
      <c r="C396" s="7" t="s">
        <v>1769</v>
      </c>
      <c r="D396" s="7" t="s">
        <v>1770</v>
      </c>
      <c r="E396" s="6" t="s">
        <v>1771</v>
      </c>
      <c r="F396" s="7" t="s">
        <v>483</v>
      </c>
      <c r="G396" t="s">
        <v>191</v>
      </c>
    </row>
    <row r="397" spans="1:7" ht="15.6">
      <c r="A397" s="6" t="s">
        <v>1772</v>
      </c>
      <c r="B397" s="6" t="s">
        <v>577</v>
      </c>
      <c r="C397" s="7" t="s">
        <v>1773</v>
      </c>
      <c r="D397" s="7" t="s">
        <v>1774</v>
      </c>
      <c r="E397" s="6" t="s">
        <v>844</v>
      </c>
      <c r="F397" s="7" t="s">
        <v>395</v>
      </c>
      <c r="G397" t="s">
        <v>173</v>
      </c>
    </row>
    <row r="398" spans="1:7" ht="15.6">
      <c r="A398" s="6" t="s">
        <v>1775</v>
      </c>
      <c r="B398" s="6" t="s">
        <v>577</v>
      </c>
      <c r="C398" s="7" t="s">
        <v>1776</v>
      </c>
      <c r="D398" s="7" t="s">
        <v>1777</v>
      </c>
      <c r="E398" s="6" t="s">
        <v>1778</v>
      </c>
      <c r="F398" s="7" t="s">
        <v>343</v>
      </c>
      <c r="G398" t="s">
        <v>166</v>
      </c>
    </row>
    <row r="399" spans="1:7" ht="15.6">
      <c r="A399" s="6" t="s">
        <v>1779</v>
      </c>
      <c r="B399" s="6" t="s">
        <v>577</v>
      </c>
      <c r="C399" s="7" t="s">
        <v>1780</v>
      </c>
      <c r="D399" s="7" t="s">
        <v>1781</v>
      </c>
      <c r="E399" s="6" t="s">
        <v>844</v>
      </c>
      <c r="F399" s="7" t="s">
        <v>484</v>
      </c>
      <c r="G399" t="s">
        <v>191</v>
      </c>
    </row>
    <row r="400" spans="1:7" ht="15.6">
      <c r="A400" s="6" t="s">
        <v>1782</v>
      </c>
      <c r="B400" s="6" t="s">
        <v>577</v>
      </c>
      <c r="C400" s="7" t="s">
        <v>628</v>
      </c>
      <c r="D400" s="7" t="s">
        <v>1783</v>
      </c>
      <c r="E400" s="6" t="s">
        <v>844</v>
      </c>
      <c r="F400" s="7" t="s">
        <v>344</v>
      </c>
      <c r="G400" t="s">
        <v>166</v>
      </c>
    </row>
    <row r="401" spans="1:7" ht="15.6">
      <c r="A401" s="6" t="s">
        <v>1784</v>
      </c>
      <c r="B401" s="6" t="s">
        <v>577</v>
      </c>
      <c r="C401" s="7" t="s">
        <v>1785</v>
      </c>
      <c r="D401" s="7" t="s">
        <v>1786</v>
      </c>
      <c r="E401" s="6"/>
      <c r="F401" s="7" t="s">
        <v>485</v>
      </c>
      <c r="G401" t="s">
        <v>191</v>
      </c>
    </row>
    <row r="402" spans="1:7" ht="15.6">
      <c r="A402" s="6" t="s">
        <v>1787</v>
      </c>
      <c r="B402" s="6" t="s">
        <v>577</v>
      </c>
      <c r="C402" s="7" t="s">
        <v>1788</v>
      </c>
      <c r="D402" s="7" t="s">
        <v>1789</v>
      </c>
      <c r="E402" s="6"/>
      <c r="F402" s="7" t="s">
        <v>486</v>
      </c>
      <c r="G402" t="s">
        <v>191</v>
      </c>
    </row>
    <row r="403" spans="1:7" ht="15.6">
      <c r="A403" s="6" t="s">
        <v>1790</v>
      </c>
      <c r="B403" s="6" t="s">
        <v>577</v>
      </c>
      <c r="C403" s="7" t="s">
        <v>1791</v>
      </c>
      <c r="D403" s="7" t="s">
        <v>1792</v>
      </c>
      <c r="E403" s="6" t="s">
        <v>870</v>
      </c>
      <c r="F403" s="7" t="s">
        <v>347</v>
      </c>
      <c r="G403" t="s">
        <v>166</v>
      </c>
    </row>
    <row r="404" spans="1:7" ht="15.6">
      <c r="A404" s="6" t="s">
        <v>1162</v>
      </c>
      <c r="B404" s="6" t="s">
        <v>577</v>
      </c>
      <c r="C404" s="7" t="s">
        <v>1163</v>
      </c>
      <c r="D404" s="7" t="s">
        <v>1164</v>
      </c>
      <c r="E404" s="6" t="s">
        <v>1793</v>
      </c>
      <c r="F404" s="7" t="s">
        <v>348</v>
      </c>
      <c r="G404" t="s">
        <v>166</v>
      </c>
    </row>
    <row r="405" spans="1:7" ht="15.6">
      <c r="A405" s="6" t="s">
        <v>1794</v>
      </c>
      <c r="B405" s="6" t="s">
        <v>577</v>
      </c>
      <c r="C405" s="7" t="s">
        <v>628</v>
      </c>
      <c r="D405" s="7" t="s">
        <v>1795</v>
      </c>
      <c r="E405" s="6" t="s">
        <v>856</v>
      </c>
      <c r="F405" s="7" t="s">
        <v>396</v>
      </c>
      <c r="G405" t="s">
        <v>173</v>
      </c>
    </row>
    <row r="406" spans="1:7" ht="15.6">
      <c r="A406" s="6" t="s">
        <v>1796</v>
      </c>
      <c r="B406" s="6" t="s">
        <v>577</v>
      </c>
      <c r="C406" s="7" t="s">
        <v>628</v>
      </c>
      <c r="D406" s="7" t="s">
        <v>1797</v>
      </c>
      <c r="E406" s="6" t="s">
        <v>856</v>
      </c>
      <c r="F406" s="7" t="s">
        <v>396</v>
      </c>
      <c r="G406" t="s">
        <v>173</v>
      </c>
    </row>
    <row r="407" spans="1:7" ht="15.6">
      <c r="A407" s="6" t="s">
        <v>1798</v>
      </c>
      <c r="B407" s="6" t="s">
        <v>577</v>
      </c>
      <c r="C407" s="7" t="s">
        <v>1799</v>
      </c>
      <c r="D407" s="7" t="s">
        <v>1800</v>
      </c>
      <c r="E407" s="6" t="s">
        <v>917</v>
      </c>
      <c r="F407" s="7" t="s">
        <v>487</v>
      </c>
      <c r="G407" t="s">
        <v>191</v>
      </c>
    </row>
    <row r="408" spans="1:7" ht="15.6">
      <c r="A408" s="6" t="s">
        <v>1801</v>
      </c>
      <c r="B408" s="6" t="s">
        <v>577</v>
      </c>
      <c r="C408" s="7" t="s">
        <v>1802</v>
      </c>
      <c r="D408" s="7" t="s">
        <v>1803</v>
      </c>
      <c r="E408" s="6" t="s">
        <v>917</v>
      </c>
      <c r="F408" s="7" t="s">
        <v>487</v>
      </c>
      <c r="G408" t="s">
        <v>191</v>
      </c>
    </row>
    <row r="409" spans="1:7" ht="15.6">
      <c r="A409" s="6" t="s">
        <v>1804</v>
      </c>
      <c r="B409" s="6" t="s">
        <v>577</v>
      </c>
      <c r="C409" s="7" t="s">
        <v>1805</v>
      </c>
      <c r="D409" s="7" t="s">
        <v>1806</v>
      </c>
      <c r="E409" s="6" t="s">
        <v>1807</v>
      </c>
      <c r="F409" s="7" t="s">
        <v>397</v>
      </c>
      <c r="G409" t="s">
        <v>173</v>
      </c>
    </row>
    <row r="410" spans="1:7" ht="15.6">
      <c r="A410" s="6" t="s">
        <v>1808</v>
      </c>
      <c r="B410" s="6" t="s">
        <v>577</v>
      </c>
      <c r="C410" s="7" t="s">
        <v>1809</v>
      </c>
      <c r="D410" s="7" t="s">
        <v>1810</v>
      </c>
      <c r="E410" s="6" t="s">
        <v>844</v>
      </c>
      <c r="F410" s="7" t="s">
        <v>488</v>
      </c>
      <c r="G410" t="s">
        <v>191</v>
      </c>
    </row>
    <row r="411" spans="1:7" ht="15.6">
      <c r="A411" s="6" t="s">
        <v>1811</v>
      </c>
      <c r="B411" s="6" t="s">
        <v>577</v>
      </c>
      <c r="C411" s="7" t="s">
        <v>1812</v>
      </c>
      <c r="D411" s="7" t="s">
        <v>1813</v>
      </c>
      <c r="E411" s="6" t="s">
        <v>844</v>
      </c>
      <c r="F411" s="7" t="s">
        <v>489</v>
      </c>
      <c r="G411" t="s">
        <v>191</v>
      </c>
    </row>
    <row r="412" spans="1:7" ht="15.6">
      <c r="A412" s="6" t="s">
        <v>1814</v>
      </c>
      <c r="B412" s="6" t="s">
        <v>577</v>
      </c>
      <c r="C412" s="7" t="s">
        <v>1815</v>
      </c>
      <c r="D412" s="7" t="s">
        <v>1816</v>
      </c>
      <c r="E412" s="6" t="s">
        <v>1308</v>
      </c>
      <c r="F412" s="7" t="s">
        <v>490</v>
      </c>
      <c r="G412" t="s">
        <v>191</v>
      </c>
    </row>
    <row r="413" spans="1:7" ht="15.6">
      <c r="A413" s="6" t="s">
        <v>1817</v>
      </c>
      <c r="B413" s="6" t="s">
        <v>651</v>
      </c>
      <c r="C413" s="7" t="s">
        <v>1818</v>
      </c>
      <c r="D413" s="7" t="s">
        <v>1819</v>
      </c>
      <c r="E413" s="6" t="s">
        <v>844</v>
      </c>
      <c r="F413" s="7" t="s">
        <v>510</v>
      </c>
      <c r="G413" t="s">
        <v>200</v>
      </c>
    </row>
    <row r="414" spans="1:7" ht="15.6">
      <c r="A414" s="6" t="s">
        <v>1820</v>
      </c>
      <c r="B414" s="6" t="s">
        <v>577</v>
      </c>
      <c r="C414" s="7" t="s">
        <v>1821</v>
      </c>
      <c r="D414" s="7" t="s">
        <v>1822</v>
      </c>
      <c r="E414" s="6" t="s">
        <v>1823</v>
      </c>
      <c r="F414" s="7" t="s">
        <v>560</v>
      </c>
      <c r="G414" t="s">
        <v>203</v>
      </c>
    </row>
    <row r="415" spans="1:7" ht="15.6">
      <c r="A415" s="6" t="s">
        <v>1824</v>
      </c>
      <c r="B415" s="6" t="s">
        <v>577</v>
      </c>
      <c r="C415" s="7" t="s">
        <v>1825</v>
      </c>
      <c r="D415" s="7" t="s">
        <v>1826</v>
      </c>
      <c r="E415" s="6" t="s">
        <v>844</v>
      </c>
      <c r="F415" s="7" t="s">
        <v>491</v>
      </c>
      <c r="G415" t="s">
        <v>191</v>
      </c>
    </row>
    <row r="416" spans="1:7" ht="15.6">
      <c r="A416" s="6" t="s">
        <v>1827</v>
      </c>
      <c r="B416" s="6" t="s">
        <v>577</v>
      </c>
      <c r="C416" s="7" t="s">
        <v>1828</v>
      </c>
      <c r="D416" s="7" t="s">
        <v>1829</v>
      </c>
      <c r="E416" s="6" t="s">
        <v>840</v>
      </c>
      <c r="F416" s="7" t="s">
        <v>492</v>
      </c>
      <c r="G416" t="s">
        <v>191</v>
      </c>
    </row>
    <row r="417" spans="1:7" ht="15.6">
      <c r="A417" s="6" t="s">
        <v>1830</v>
      </c>
      <c r="B417" s="6" t="s">
        <v>577</v>
      </c>
      <c r="C417" s="7" t="s">
        <v>1831</v>
      </c>
      <c r="D417" s="7" t="s">
        <v>1832</v>
      </c>
      <c r="E417" s="6" t="s">
        <v>1833</v>
      </c>
      <c r="F417" s="7" t="s">
        <v>511</v>
      </c>
      <c r="G417" t="s">
        <v>200</v>
      </c>
    </row>
    <row r="418" spans="1:7" ht="15.6">
      <c r="A418" s="6" t="s">
        <v>1834</v>
      </c>
      <c r="B418" s="6" t="s">
        <v>577</v>
      </c>
      <c r="C418" s="7" t="s">
        <v>1835</v>
      </c>
      <c r="D418" s="7" t="s">
        <v>1836</v>
      </c>
      <c r="E418" s="6" t="s">
        <v>1833</v>
      </c>
      <c r="F418" s="7" t="s">
        <v>511</v>
      </c>
      <c r="G418" t="s">
        <v>200</v>
      </c>
    </row>
    <row r="419" spans="1:7" ht="15.6">
      <c r="A419" s="6" t="s">
        <v>1837</v>
      </c>
      <c r="B419" s="6" t="s">
        <v>577</v>
      </c>
      <c r="C419" s="7" t="s">
        <v>1838</v>
      </c>
      <c r="D419" s="7" t="s">
        <v>1839</v>
      </c>
      <c r="E419" s="6" t="s">
        <v>1833</v>
      </c>
      <c r="F419" s="7" t="s">
        <v>511</v>
      </c>
      <c r="G419" t="s">
        <v>200</v>
      </c>
    </row>
    <row r="420" spans="1:7" ht="15.6">
      <c r="A420" s="6" t="s">
        <v>1840</v>
      </c>
      <c r="B420" s="6" t="s">
        <v>577</v>
      </c>
      <c r="C420" s="7" t="s">
        <v>1841</v>
      </c>
      <c r="D420" s="7" t="s">
        <v>1842</v>
      </c>
      <c r="E420" s="6" t="s">
        <v>856</v>
      </c>
      <c r="F420" s="7" t="s">
        <v>493</v>
      </c>
      <c r="G420" t="s">
        <v>191</v>
      </c>
    </row>
    <row r="421" spans="1:7" ht="15.6">
      <c r="A421" s="6" t="s">
        <v>1843</v>
      </c>
      <c r="B421" s="6" t="s">
        <v>577</v>
      </c>
      <c r="C421" s="7" t="s">
        <v>1844</v>
      </c>
      <c r="D421" s="7" t="s">
        <v>1845</v>
      </c>
      <c r="E421" s="6" t="s">
        <v>1069</v>
      </c>
      <c r="F421" s="7" t="s">
        <v>179</v>
      </c>
      <c r="G421" t="s">
        <v>159</v>
      </c>
    </row>
    <row r="422" spans="1:7" ht="15.6">
      <c r="A422" s="6" t="s">
        <v>1846</v>
      </c>
      <c r="B422" s="6" t="s">
        <v>577</v>
      </c>
      <c r="C422" s="7" t="s">
        <v>1847</v>
      </c>
      <c r="D422" s="7" t="s">
        <v>1848</v>
      </c>
      <c r="E422" s="6" t="s">
        <v>844</v>
      </c>
      <c r="F422" s="7" t="s">
        <v>183</v>
      </c>
      <c r="G422" t="s">
        <v>159</v>
      </c>
    </row>
    <row r="423" spans="1:7" ht="15.6">
      <c r="A423" s="6" t="s">
        <v>1849</v>
      </c>
      <c r="B423" s="6" t="s">
        <v>577</v>
      </c>
      <c r="C423" s="7" t="s">
        <v>1850</v>
      </c>
      <c r="D423" s="7" t="s">
        <v>1851</v>
      </c>
      <c r="E423" s="6" t="s">
        <v>1412</v>
      </c>
      <c r="F423" s="7" t="s">
        <v>190</v>
      </c>
      <c r="G423" t="s">
        <v>159</v>
      </c>
    </row>
    <row r="424" spans="1:7" ht="15.6">
      <c r="A424" s="6" t="s">
        <v>1852</v>
      </c>
      <c r="B424" s="6" t="s">
        <v>577</v>
      </c>
      <c r="C424" s="7" t="s">
        <v>1853</v>
      </c>
      <c r="D424" s="7" t="s">
        <v>1854</v>
      </c>
      <c r="E424" s="6" t="s">
        <v>591</v>
      </c>
      <c r="F424" s="7" t="s">
        <v>350</v>
      </c>
      <c r="G424" t="s">
        <v>166</v>
      </c>
    </row>
    <row r="425" spans="1:7" ht="15.6">
      <c r="A425" s="6" t="s">
        <v>1855</v>
      </c>
      <c r="B425" s="6" t="s">
        <v>577</v>
      </c>
      <c r="C425" s="7" t="s">
        <v>971</v>
      </c>
      <c r="D425" s="7" t="s">
        <v>1856</v>
      </c>
      <c r="E425" s="6" t="s">
        <v>591</v>
      </c>
      <c r="F425" s="7" t="s">
        <v>350</v>
      </c>
      <c r="G425" t="s">
        <v>166</v>
      </c>
    </row>
    <row r="426" spans="1:7" ht="15.6">
      <c r="A426" s="6" t="s">
        <v>1857</v>
      </c>
      <c r="B426" s="6" t="s">
        <v>577</v>
      </c>
      <c r="C426" s="7" t="s">
        <v>971</v>
      </c>
      <c r="D426" s="7" t="s">
        <v>1858</v>
      </c>
      <c r="E426" s="6" t="s">
        <v>591</v>
      </c>
      <c r="F426" s="7" t="s">
        <v>350</v>
      </c>
      <c r="G426" t="s">
        <v>166</v>
      </c>
    </row>
    <row r="427" spans="1:7" ht="15.6">
      <c r="A427" s="6" t="s">
        <v>1859</v>
      </c>
      <c r="B427" s="6" t="s">
        <v>577</v>
      </c>
      <c r="C427" s="7" t="s">
        <v>1860</v>
      </c>
      <c r="D427" s="7" t="s">
        <v>1861</v>
      </c>
      <c r="E427" s="6" t="s">
        <v>591</v>
      </c>
      <c r="F427" s="7" t="s">
        <v>350</v>
      </c>
      <c r="G427" t="s">
        <v>166</v>
      </c>
    </row>
    <row r="428" spans="1:7" ht="15.6">
      <c r="A428" s="6" t="s">
        <v>1862</v>
      </c>
      <c r="B428" s="6" t="s">
        <v>577</v>
      </c>
      <c r="C428" s="7" t="s">
        <v>971</v>
      </c>
      <c r="D428" s="7" t="s">
        <v>1863</v>
      </c>
      <c r="E428" s="6" t="s">
        <v>591</v>
      </c>
      <c r="F428" s="7" t="s">
        <v>350</v>
      </c>
      <c r="G428" t="s">
        <v>166</v>
      </c>
    </row>
    <row r="429" spans="1:7" ht="15.6">
      <c r="A429" s="6" t="s">
        <v>1864</v>
      </c>
      <c r="B429" s="6" t="s">
        <v>577</v>
      </c>
      <c r="C429" s="7" t="s">
        <v>1865</v>
      </c>
      <c r="D429" s="7" t="s">
        <v>1866</v>
      </c>
      <c r="E429" s="6" t="s">
        <v>1500</v>
      </c>
      <c r="F429" s="7" t="s">
        <v>494</v>
      </c>
      <c r="G429" t="s">
        <v>191</v>
      </c>
    </row>
    <row r="430" spans="1:7" ht="15.6">
      <c r="A430" s="6" t="s">
        <v>1867</v>
      </c>
      <c r="B430" s="6" t="s">
        <v>577</v>
      </c>
      <c r="C430" s="7" t="s">
        <v>1868</v>
      </c>
      <c r="D430" s="7" t="s">
        <v>1869</v>
      </c>
      <c r="E430" s="6" t="s">
        <v>844</v>
      </c>
      <c r="F430" s="7" t="s">
        <v>495</v>
      </c>
      <c r="G430" t="s">
        <v>191</v>
      </c>
    </row>
    <row r="431" spans="1:7" ht="15.6">
      <c r="A431" s="6" t="s">
        <v>1870</v>
      </c>
      <c r="B431" s="6" t="s">
        <v>577</v>
      </c>
      <c r="C431" s="7" t="s">
        <v>1871</v>
      </c>
      <c r="D431" s="7" t="s">
        <v>1872</v>
      </c>
      <c r="E431" s="6" t="s">
        <v>1873</v>
      </c>
      <c r="F431" s="7" t="s">
        <v>352</v>
      </c>
      <c r="G431" t="s">
        <v>166</v>
      </c>
    </row>
    <row r="432" spans="1:7" ht="15.6">
      <c r="A432" s="6" t="s">
        <v>1874</v>
      </c>
      <c r="B432" s="6" t="s">
        <v>577</v>
      </c>
      <c r="C432" s="7" t="s">
        <v>1875</v>
      </c>
      <c r="D432" s="7" t="s">
        <v>1876</v>
      </c>
      <c r="E432" s="6" t="s">
        <v>1873</v>
      </c>
      <c r="F432" s="7" t="s">
        <v>352</v>
      </c>
      <c r="G432" t="s">
        <v>166</v>
      </c>
    </row>
    <row r="433" spans="1:7" ht="15.6">
      <c r="A433" s="6" t="s">
        <v>1877</v>
      </c>
      <c r="B433" s="6" t="s">
        <v>577</v>
      </c>
      <c r="C433" s="7" t="s">
        <v>1878</v>
      </c>
      <c r="D433" s="7" t="s">
        <v>1879</v>
      </c>
      <c r="E433" s="6" t="s">
        <v>844</v>
      </c>
      <c r="F433" s="7" t="s">
        <v>496</v>
      </c>
      <c r="G433" t="s">
        <v>191</v>
      </c>
    </row>
    <row r="434" spans="1:7" ht="15.6">
      <c r="A434" s="6" t="s">
        <v>1880</v>
      </c>
      <c r="B434" s="6" t="s">
        <v>577</v>
      </c>
      <c r="C434" s="7" t="s">
        <v>1881</v>
      </c>
      <c r="D434" s="7" t="s">
        <v>1882</v>
      </c>
      <c r="E434" s="6" t="s">
        <v>1883</v>
      </c>
      <c r="F434" s="7" t="s">
        <v>193</v>
      </c>
      <c r="G434" t="s">
        <v>159</v>
      </c>
    </row>
    <row r="435" spans="1:7" ht="15.6">
      <c r="A435" s="6" t="s">
        <v>1884</v>
      </c>
      <c r="B435" s="6" t="s">
        <v>577</v>
      </c>
      <c r="C435" s="7" t="s">
        <v>1885</v>
      </c>
      <c r="D435" s="7" t="s">
        <v>1886</v>
      </c>
      <c r="E435" s="6" t="s">
        <v>1883</v>
      </c>
      <c r="F435" s="7" t="s">
        <v>193</v>
      </c>
      <c r="G435" t="s">
        <v>159</v>
      </c>
    </row>
    <row r="436" spans="1:7" ht="15.6">
      <c r="A436" s="6" t="s">
        <v>1887</v>
      </c>
      <c r="B436" s="6" t="s">
        <v>577</v>
      </c>
      <c r="C436" s="7" t="s">
        <v>1888</v>
      </c>
      <c r="D436" s="7" t="s">
        <v>1889</v>
      </c>
      <c r="E436" s="6" t="s">
        <v>1883</v>
      </c>
      <c r="F436" s="7" t="s">
        <v>193</v>
      </c>
      <c r="G436" t="s">
        <v>159</v>
      </c>
    </row>
    <row r="437" spans="1:7" ht="15.6">
      <c r="A437" s="6" t="s">
        <v>1890</v>
      </c>
      <c r="B437" s="6" t="s">
        <v>577</v>
      </c>
      <c r="C437" s="7" t="s">
        <v>1891</v>
      </c>
      <c r="D437" s="7" t="s">
        <v>1892</v>
      </c>
      <c r="E437" s="6" t="s">
        <v>844</v>
      </c>
      <c r="F437" s="7" t="s">
        <v>497</v>
      </c>
      <c r="G437" t="s">
        <v>191</v>
      </c>
    </row>
    <row r="438" spans="1:7" ht="15.6">
      <c r="A438" s="6" t="s">
        <v>1893</v>
      </c>
      <c r="B438" s="6" t="s">
        <v>577</v>
      </c>
      <c r="C438" s="7" t="s">
        <v>1894</v>
      </c>
      <c r="D438" s="7" t="s">
        <v>1895</v>
      </c>
      <c r="E438" s="6" t="s">
        <v>1896</v>
      </c>
      <c r="F438" s="7" t="s">
        <v>498</v>
      </c>
      <c r="G438" t="s">
        <v>191</v>
      </c>
    </row>
    <row r="439" spans="1:7" ht="15.6">
      <c r="A439" s="6" t="s">
        <v>1897</v>
      </c>
      <c r="B439" s="6" t="s">
        <v>577</v>
      </c>
      <c r="C439" s="7" t="s">
        <v>1898</v>
      </c>
      <c r="D439" s="7" t="s">
        <v>1899</v>
      </c>
      <c r="E439" s="6" t="s">
        <v>1056</v>
      </c>
      <c r="F439" s="7" t="s">
        <v>499</v>
      </c>
      <c r="G439" t="s">
        <v>191</v>
      </c>
    </row>
    <row r="440" spans="1:7" ht="15.6">
      <c r="A440" s="6" t="s">
        <v>1900</v>
      </c>
      <c r="B440" s="6" t="s">
        <v>577</v>
      </c>
      <c r="C440" s="7" t="s">
        <v>1901</v>
      </c>
      <c r="D440" s="7" t="s">
        <v>1902</v>
      </c>
      <c r="E440" s="6" t="s">
        <v>1056</v>
      </c>
      <c r="F440" s="7" t="s">
        <v>499</v>
      </c>
      <c r="G440" t="s">
        <v>191</v>
      </c>
    </row>
    <row r="441" spans="1:7" ht="15.6">
      <c r="A441" s="6" t="s">
        <v>1903</v>
      </c>
      <c r="B441" s="6" t="s">
        <v>651</v>
      </c>
      <c r="C441" s="7" t="s">
        <v>1904</v>
      </c>
      <c r="D441" s="7" t="s">
        <v>1905</v>
      </c>
      <c r="E441" s="6" t="s">
        <v>1056</v>
      </c>
      <c r="F441" s="7" t="s">
        <v>499</v>
      </c>
      <c r="G441" t="s">
        <v>191</v>
      </c>
    </row>
    <row r="442" spans="1:7" ht="15.6">
      <c r="A442" s="6" t="s">
        <v>1906</v>
      </c>
      <c r="B442" s="6" t="s">
        <v>577</v>
      </c>
      <c r="C442" s="7" t="s">
        <v>1907</v>
      </c>
      <c r="D442" s="7" t="s">
        <v>1908</v>
      </c>
      <c r="E442" s="6" t="s">
        <v>844</v>
      </c>
      <c r="F442" s="7" t="s">
        <v>399</v>
      </c>
      <c r="G442" t="s">
        <v>173</v>
      </c>
    </row>
    <row r="443" spans="1:7" ht="15.6">
      <c r="A443" s="6" t="s">
        <v>1909</v>
      </c>
      <c r="B443" s="6" t="s">
        <v>577</v>
      </c>
      <c r="C443" s="7" t="s">
        <v>1910</v>
      </c>
      <c r="D443" s="7" t="s">
        <v>1911</v>
      </c>
      <c r="E443" s="6" t="s">
        <v>1912</v>
      </c>
      <c r="F443" s="7" t="s">
        <v>500</v>
      </c>
      <c r="G443" t="s">
        <v>191</v>
      </c>
    </row>
    <row r="444" spans="1:7" ht="15.6">
      <c r="A444" s="6" t="s">
        <v>1913</v>
      </c>
      <c r="B444" s="6" t="s">
        <v>577</v>
      </c>
      <c r="C444" s="7" t="s">
        <v>1914</v>
      </c>
      <c r="D444" s="7" t="s">
        <v>1915</v>
      </c>
      <c r="E444" s="6" t="s">
        <v>1912</v>
      </c>
      <c r="F444" s="7" t="s">
        <v>500</v>
      </c>
      <c r="G444" t="s">
        <v>191</v>
      </c>
    </row>
    <row r="445" spans="1:7" ht="15.6">
      <c r="A445" s="6" t="s">
        <v>1916</v>
      </c>
      <c r="B445" s="6" t="s">
        <v>577</v>
      </c>
      <c r="C445" s="7" t="s">
        <v>1917</v>
      </c>
      <c r="D445" s="7" t="s">
        <v>1918</v>
      </c>
      <c r="E445" s="6" t="s">
        <v>1912</v>
      </c>
      <c r="F445" s="7" t="s">
        <v>500</v>
      </c>
      <c r="G445" t="s">
        <v>191</v>
      </c>
    </row>
    <row r="446" spans="1:7" ht="15.6">
      <c r="A446" s="6" t="s">
        <v>1919</v>
      </c>
      <c r="B446" s="6" t="s">
        <v>577</v>
      </c>
      <c r="C446" s="7" t="s">
        <v>1920</v>
      </c>
      <c r="D446" s="7" t="s">
        <v>1921</v>
      </c>
      <c r="E446" s="6" t="s">
        <v>1922</v>
      </c>
      <c r="F446" s="7" t="s">
        <v>353</v>
      </c>
      <c r="G446" t="s">
        <v>166</v>
      </c>
    </row>
    <row r="447" spans="1:7" ht="15.6">
      <c r="A447" s="6" t="s">
        <v>1923</v>
      </c>
      <c r="B447" s="6" t="s">
        <v>577</v>
      </c>
      <c r="C447" s="7" t="s">
        <v>1924</v>
      </c>
      <c r="D447" s="7" t="s">
        <v>1925</v>
      </c>
      <c r="E447" s="6" t="s">
        <v>998</v>
      </c>
      <c r="F447" s="7" t="s">
        <v>354</v>
      </c>
      <c r="G447" t="s">
        <v>166</v>
      </c>
    </row>
    <row r="448" spans="1:7" ht="15.6">
      <c r="A448" s="6" t="s">
        <v>1926</v>
      </c>
      <c r="B448" s="6" t="s">
        <v>577</v>
      </c>
      <c r="C448" s="7" t="s">
        <v>1927</v>
      </c>
      <c r="D448" s="7" t="s">
        <v>1928</v>
      </c>
      <c r="E448" s="6" t="s">
        <v>998</v>
      </c>
      <c r="F448" s="7" t="s">
        <v>354</v>
      </c>
      <c r="G448" t="s">
        <v>166</v>
      </c>
    </row>
    <row r="449" spans="1:7" ht="15.6">
      <c r="A449" s="6" t="s">
        <v>1929</v>
      </c>
      <c r="B449" s="6" t="s">
        <v>577</v>
      </c>
      <c r="C449" s="7" t="s">
        <v>1927</v>
      </c>
      <c r="D449" s="7" t="s">
        <v>1930</v>
      </c>
      <c r="E449" s="6" t="s">
        <v>998</v>
      </c>
      <c r="F449" s="7" t="s">
        <v>354</v>
      </c>
      <c r="G449" t="s">
        <v>166</v>
      </c>
    </row>
    <row r="450" spans="1:7" ht="15.6">
      <c r="A450" s="6" t="s">
        <v>1931</v>
      </c>
      <c r="B450" s="6" t="s">
        <v>577</v>
      </c>
      <c r="C450" s="7" t="s">
        <v>628</v>
      </c>
      <c r="D450" s="7" t="s">
        <v>1932</v>
      </c>
      <c r="E450" s="6" t="s">
        <v>998</v>
      </c>
      <c r="F450" s="7" t="s">
        <v>354</v>
      </c>
      <c r="G450" t="s">
        <v>166</v>
      </c>
    </row>
    <row r="451" spans="1:7" ht="15.6">
      <c r="A451" s="6" t="s">
        <v>1933</v>
      </c>
      <c r="B451" s="6" t="s">
        <v>577</v>
      </c>
      <c r="C451" s="7" t="s">
        <v>1934</v>
      </c>
      <c r="D451" s="7" t="s">
        <v>1935</v>
      </c>
      <c r="E451" s="6" t="s">
        <v>998</v>
      </c>
      <c r="F451" s="7" t="s">
        <v>354</v>
      </c>
      <c r="G451" t="s">
        <v>166</v>
      </c>
    </row>
    <row r="452" spans="1:7" ht="15.6">
      <c r="A452" s="6" t="s">
        <v>1936</v>
      </c>
      <c r="B452" s="6" t="s">
        <v>651</v>
      </c>
      <c r="C452" s="7" t="s">
        <v>1937</v>
      </c>
      <c r="D452" s="7" t="s">
        <v>1938</v>
      </c>
      <c r="E452" s="6" t="s">
        <v>998</v>
      </c>
      <c r="F452" s="7" t="s">
        <v>354</v>
      </c>
      <c r="G452" t="s">
        <v>166</v>
      </c>
    </row>
    <row r="453" spans="1:7" ht="15.6">
      <c r="A453" s="6" t="s">
        <v>1939</v>
      </c>
      <c r="B453" s="6" t="s">
        <v>577</v>
      </c>
      <c r="C453" s="7" t="s">
        <v>1940</v>
      </c>
      <c r="D453" s="7" t="s">
        <v>1941</v>
      </c>
      <c r="E453" s="6" t="s">
        <v>998</v>
      </c>
      <c r="F453" s="7" t="s">
        <v>354</v>
      </c>
      <c r="G453" t="s">
        <v>166</v>
      </c>
    </row>
    <row r="454" spans="1:7" ht="15.6">
      <c r="A454" s="6" t="s">
        <v>1942</v>
      </c>
      <c r="B454" s="6" t="s">
        <v>577</v>
      </c>
      <c r="C454" s="7" t="s">
        <v>1943</v>
      </c>
      <c r="D454" s="7" t="s">
        <v>1944</v>
      </c>
      <c r="E454" s="6" t="s">
        <v>998</v>
      </c>
      <c r="F454" s="7" t="s">
        <v>354</v>
      </c>
      <c r="G454" t="s">
        <v>166</v>
      </c>
    </row>
    <row r="455" spans="1:7" ht="15.6">
      <c r="A455" s="6" t="s">
        <v>1945</v>
      </c>
      <c r="B455" s="6" t="s">
        <v>577</v>
      </c>
      <c r="C455" s="7" t="s">
        <v>1946</v>
      </c>
      <c r="D455" s="7" t="s">
        <v>1947</v>
      </c>
      <c r="E455" s="6" t="s">
        <v>998</v>
      </c>
      <c r="F455" s="7" t="s">
        <v>354</v>
      </c>
      <c r="G455" t="s">
        <v>166</v>
      </c>
    </row>
    <row r="456" spans="1:7" ht="15.6">
      <c r="A456" s="6" t="s">
        <v>1948</v>
      </c>
      <c r="B456" s="6" t="s">
        <v>577</v>
      </c>
      <c r="C456" s="7" t="s">
        <v>1949</v>
      </c>
      <c r="D456" s="7" t="s">
        <v>1950</v>
      </c>
      <c r="E456" s="6" t="s">
        <v>998</v>
      </c>
      <c r="F456" s="7" t="s">
        <v>354</v>
      </c>
      <c r="G456" t="s">
        <v>166</v>
      </c>
    </row>
    <row r="457" spans="1:7" ht="15.6">
      <c r="A457" s="6" t="s">
        <v>1951</v>
      </c>
      <c r="B457" s="6" t="s">
        <v>577</v>
      </c>
      <c r="C457" s="7" t="s">
        <v>1952</v>
      </c>
      <c r="D457" s="7" t="s">
        <v>1953</v>
      </c>
      <c r="E457" s="6" t="s">
        <v>998</v>
      </c>
      <c r="F457" s="7" t="s">
        <v>354</v>
      </c>
      <c r="G457" t="s">
        <v>166</v>
      </c>
    </row>
    <row r="458" spans="1:7" ht="15.6">
      <c r="A458" s="6" t="s">
        <v>1954</v>
      </c>
      <c r="B458" s="6" t="s">
        <v>577</v>
      </c>
      <c r="C458" s="7" t="s">
        <v>1955</v>
      </c>
      <c r="D458" s="7" t="s">
        <v>1956</v>
      </c>
      <c r="E458" s="6" t="s">
        <v>998</v>
      </c>
      <c r="F458" s="7" t="s">
        <v>354</v>
      </c>
      <c r="G458" t="s">
        <v>166</v>
      </c>
    </row>
    <row r="459" spans="1:7" ht="15.6">
      <c r="A459" s="6" t="s">
        <v>1957</v>
      </c>
      <c r="B459" s="6" t="s">
        <v>577</v>
      </c>
      <c r="C459" s="7" t="s">
        <v>1958</v>
      </c>
      <c r="D459" s="7" t="s">
        <v>1959</v>
      </c>
      <c r="E459" s="6" t="s">
        <v>998</v>
      </c>
      <c r="F459" s="7" t="s">
        <v>354</v>
      </c>
      <c r="G459" t="s">
        <v>166</v>
      </c>
    </row>
    <row r="460" spans="1:7" ht="15.6">
      <c r="A460" s="6" t="s">
        <v>1960</v>
      </c>
      <c r="B460" s="6" t="s">
        <v>577</v>
      </c>
      <c r="C460" s="7" t="s">
        <v>1961</v>
      </c>
      <c r="D460" s="7" t="s">
        <v>1962</v>
      </c>
      <c r="E460" s="6" t="s">
        <v>998</v>
      </c>
      <c r="F460" s="7" t="s">
        <v>354</v>
      </c>
      <c r="G460" t="s">
        <v>166</v>
      </c>
    </row>
    <row r="461" spans="1:7" ht="15.6">
      <c r="A461" s="6" t="s">
        <v>1963</v>
      </c>
      <c r="B461" s="6" t="s">
        <v>651</v>
      </c>
      <c r="C461" s="7" t="s">
        <v>1964</v>
      </c>
      <c r="D461" s="7" t="s">
        <v>1965</v>
      </c>
      <c r="E461" s="6" t="s">
        <v>998</v>
      </c>
      <c r="F461" s="7" t="s">
        <v>354</v>
      </c>
      <c r="G461" t="s">
        <v>166</v>
      </c>
    </row>
    <row r="462" spans="1:7" ht="15.6">
      <c r="A462" s="6" t="s">
        <v>1966</v>
      </c>
      <c r="B462" s="6" t="s">
        <v>577</v>
      </c>
      <c r="C462" s="7" t="s">
        <v>1967</v>
      </c>
      <c r="D462" s="7" t="s">
        <v>1968</v>
      </c>
      <c r="E462" s="6" t="s">
        <v>998</v>
      </c>
      <c r="F462" s="7" t="s">
        <v>354</v>
      </c>
      <c r="G462" t="s">
        <v>166</v>
      </c>
    </row>
    <row r="463" spans="1:7" ht="15.6">
      <c r="A463" s="6" t="s">
        <v>1969</v>
      </c>
      <c r="B463" s="6" t="s">
        <v>577</v>
      </c>
      <c r="C463" s="7" t="s">
        <v>1970</v>
      </c>
      <c r="D463" s="7" t="s">
        <v>1971</v>
      </c>
      <c r="E463" s="6" t="s">
        <v>998</v>
      </c>
      <c r="F463" s="7" t="s">
        <v>354</v>
      </c>
      <c r="G463" t="s">
        <v>166</v>
      </c>
    </row>
    <row r="464" spans="1:7" ht="15.6">
      <c r="A464" s="6" t="s">
        <v>1972</v>
      </c>
      <c r="B464" s="6" t="s">
        <v>577</v>
      </c>
      <c r="C464" s="7" t="s">
        <v>1973</v>
      </c>
      <c r="D464" s="7" t="s">
        <v>1974</v>
      </c>
      <c r="E464" s="6" t="s">
        <v>998</v>
      </c>
      <c r="F464" s="7" t="s">
        <v>354</v>
      </c>
      <c r="G464" t="s">
        <v>166</v>
      </c>
    </row>
    <row r="465" spans="1:7" ht="15.6">
      <c r="A465" s="6" t="s">
        <v>1975</v>
      </c>
      <c r="B465" s="6" t="s">
        <v>577</v>
      </c>
      <c r="C465" s="7" t="s">
        <v>1976</v>
      </c>
      <c r="D465" s="7" t="s">
        <v>1977</v>
      </c>
      <c r="E465" s="6" t="s">
        <v>998</v>
      </c>
      <c r="F465" s="7" t="s">
        <v>354</v>
      </c>
      <c r="G465" t="s">
        <v>166</v>
      </c>
    </row>
    <row r="466" spans="1:7" ht="15.6">
      <c r="A466" s="6" t="s">
        <v>1978</v>
      </c>
      <c r="B466" s="6" t="s">
        <v>577</v>
      </c>
      <c r="C466" s="7" t="s">
        <v>1979</v>
      </c>
      <c r="D466" s="7" t="s">
        <v>1980</v>
      </c>
      <c r="E466" s="6" t="s">
        <v>998</v>
      </c>
      <c r="F466" s="7" t="s">
        <v>354</v>
      </c>
      <c r="G466" t="s">
        <v>166</v>
      </c>
    </row>
    <row r="467" spans="1:7" ht="15.6">
      <c r="A467" s="6" t="s">
        <v>1981</v>
      </c>
      <c r="B467" s="6" t="s">
        <v>577</v>
      </c>
      <c r="C467" s="7" t="s">
        <v>1982</v>
      </c>
      <c r="D467" s="7" t="s">
        <v>1983</v>
      </c>
      <c r="E467" s="6" t="s">
        <v>998</v>
      </c>
      <c r="F467" s="7" t="s">
        <v>354</v>
      </c>
      <c r="G467" t="s">
        <v>166</v>
      </c>
    </row>
    <row r="468" spans="1:7" ht="15.6">
      <c r="A468" s="6" t="s">
        <v>1984</v>
      </c>
      <c r="B468" s="6" t="s">
        <v>577</v>
      </c>
      <c r="C468" s="7" t="s">
        <v>1985</v>
      </c>
      <c r="D468" s="7" t="s">
        <v>1986</v>
      </c>
      <c r="E468" s="6" t="s">
        <v>998</v>
      </c>
      <c r="F468" s="7" t="s">
        <v>354</v>
      </c>
      <c r="G468" t="s">
        <v>166</v>
      </c>
    </row>
    <row r="469" spans="1:7" ht="15.6">
      <c r="A469" s="6" t="s">
        <v>1987</v>
      </c>
      <c r="B469" s="6" t="s">
        <v>651</v>
      </c>
      <c r="C469" s="7" t="s">
        <v>1988</v>
      </c>
      <c r="D469" s="7" t="s">
        <v>1989</v>
      </c>
      <c r="E469" s="6" t="s">
        <v>998</v>
      </c>
      <c r="F469" s="7" t="s">
        <v>354</v>
      </c>
      <c r="G469" t="s">
        <v>166</v>
      </c>
    </row>
    <row r="470" spans="1:7" ht="15.6">
      <c r="A470" s="6" t="s">
        <v>1990</v>
      </c>
      <c r="B470" s="6" t="s">
        <v>577</v>
      </c>
      <c r="C470" s="7" t="s">
        <v>1991</v>
      </c>
      <c r="D470" s="7" t="s">
        <v>1992</v>
      </c>
      <c r="E470" s="6" t="s">
        <v>998</v>
      </c>
      <c r="F470" s="7" t="s">
        <v>354</v>
      </c>
      <c r="G470" t="s">
        <v>166</v>
      </c>
    </row>
    <row r="471" spans="1:7" ht="15.6">
      <c r="A471" s="6" t="s">
        <v>1993</v>
      </c>
      <c r="B471" s="6" t="s">
        <v>577</v>
      </c>
      <c r="C471" s="7" t="s">
        <v>1927</v>
      </c>
      <c r="D471" s="7" t="s">
        <v>1994</v>
      </c>
      <c r="E471" s="6" t="s">
        <v>998</v>
      </c>
      <c r="F471" s="7" t="s">
        <v>354</v>
      </c>
      <c r="G471" t="s">
        <v>166</v>
      </c>
    </row>
    <row r="472" spans="1:7" ht="15.6">
      <c r="A472" s="6" t="s">
        <v>1995</v>
      </c>
      <c r="B472" s="6" t="s">
        <v>577</v>
      </c>
      <c r="C472" s="7" t="s">
        <v>1927</v>
      </c>
      <c r="D472" s="7" t="s">
        <v>1996</v>
      </c>
      <c r="E472" s="6" t="s">
        <v>998</v>
      </c>
      <c r="F472" s="7" t="s">
        <v>354</v>
      </c>
      <c r="G472" t="s">
        <v>166</v>
      </c>
    </row>
    <row r="473" spans="1:7" ht="15.6">
      <c r="A473" s="6" t="s">
        <v>1997</v>
      </c>
      <c r="B473" s="6" t="s">
        <v>577</v>
      </c>
      <c r="C473" s="7" t="s">
        <v>1998</v>
      </c>
      <c r="D473" s="7" t="s">
        <v>1999</v>
      </c>
      <c r="E473" s="6" t="s">
        <v>998</v>
      </c>
      <c r="F473" s="7" t="s">
        <v>354</v>
      </c>
      <c r="G473" t="s">
        <v>166</v>
      </c>
    </row>
    <row r="474" spans="1:7" ht="15.6">
      <c r="A474" s="6" t="s">
        <v>2000</v>
      </c>
      <c r="B474" s="6" t="s">
        <v>577</v>
      </c>
      <c r="C474" s="7" t="s">
        <v>1927</v>
      </c>
      <c r="D474" s="7" t="s">
        <v>2001</v>
      </c>
      <c r="E474" s="6" t="s">
        <v>998</v>
      </c>
      <c r="F474" s="7" t="s">
        <v>354</v>
      </c>
      <c r="G474" t="s">
        <v>166</v>
      </c>
    </row>
    <row r="475" spans="1:7" ht="15.6">
      <c r="A475" s="6" t="s">
        <v>2002</v>
      </c>
      <c r="B475" s="6" t="s">
        <v>577</v>
      </c>
      <c r="C475" s="7" t="s">
        <v>2003</v>
      </c>
      <c r="D475" s="7" t="s">
        <v>2004</v>
      </c>
      <c r="E475" s="6" t="s">
        <v>998</v>
      </c>
      <c r="F475" s="7" t="s">
        <v>354</v>
      </c>
      <c r="G475" t="s">
        <v>166</v>
      </c>
    </row>
    <row r="476" spans="1:7" ht="15.6">
      <c r="A476" s="6" t="s">
        <v>2005</v>
      </c>
      <c r="B476" s="6" t="s">
        <v>577</v>
      </c>
      <c r="C476" s="7" t="s">
        <v>2006</v>
      </c>
      <c r="D476" s="7" t="s">
        <v>2007</v>
      </c>
      <c r="E476" s="6" t="s">
        <v>998</v>
      </c>
      <c r="F476" s="7" t="s">
        <v>354</v>
      </c>
      <c r="G476" t="s">
        <v>166</v>
      </c>
    </row>
    <row r="477" spans="1:7" ht="15.6">
      <c r="A477" s="6" t="s">
        <v>2008</v>
      </c>
      <c r="B477" s="6" t="s">
        <v>577</v>
      </c>
      <c r="C477" s="7" t="s">
        <v>628</v>
      </c>
      <c r="D477" s="7" t="s">
        <v>2009</v>
      </c>
      <c r="E477" s="6" t="s">
        <v>998</v>
      </c>
      <c r="F477" s="7" t="s">
        <v>354</v>
      </c>
      <c r="G477" t="s">
        <v>166</v>
      </c>
    </row>
    <row r="478" spans="1:7" ht="15.6">
      <c r="A478" s="6" t="s">
        <v>2010</v>
      </c>
      <c r="B478" s="6" t="s">
        <v>577</v>
      </c>
      <c r="C478" s="7" t="s">
        <v>1927</v>
      </c>
      <c r="D478" s="7" t="s">
        <v>2011</v>
      </c>
      <c r="E478" s="6" t="s">
        <v>998</v>
      </c>
      <c r="F478" s="7" t="s">
        <v>354</v>
      </c>
      <c r="G478" t="s">
        <v>166</v>
      </c>
    </row>
    <row r="479" spans="1:7" ht="15.6">
      <c r="A479" s="6" t="s">
        <v>2012</v>
      </c>
      <c r="B479" s="6" t="s">
        <v>577</v>
      </c>
      <c r="C479" s="7" t="s">
        <v>2013</v>
      </c>
      <c r="D479" s="7" t="s">
        <v>2014</v>
      </c>
      <c r="E479" s="6" t="s">
        <v>998</v>
      </c>
      <c r="F479" s="7" t="s">
        <v>354</v>
      </c>
      <c r="G479" t="s">
        <v>166</v>
      </c>
    </row>
    <row r="480" spans="1:7" ht="15.6">
      <c r="A480" s="6" t="s">
        <v>2015</v>
      </c>
      <c r="B480" s="6" t="s">
        <v>577</v>
      </c>
      <c r="C480" s="7" t="s">
        <v>1927</v>
      </c>
      <c r="D480" s="7" t="s">
        <v>2016</v>
      </c>
      <c r="E480" s="6" t="s">
        <v>998</v>
      </c>
      <c r="F480" s="7" t="s">
        <v>354</v>
      </c>
      <c r="G480" t="s">
        <v>166</v>
      </c>
    </row>
    <row r="481" spans="1:7" ht="15.6">
      <c r="A481" s="6" t="s">
        <v>2017</v>
      </c>
      <c r="B481" s="6" t="s">
        <v>577</v>
      </c>
      <c r="C481" s="7" t="s">
        <v>1927</v>
      </c>
      <c r="D481" s="7" t="s">
        <v>2018</v>
      </c>
      <c r="E481" s="6" t="s">
        <v>998</v>
      </c>
      <c r="F481" s="7" t="s">
        <v>354</v>
      </c>
      <c r="G481" t="s">
        <v>166</v>
      </c>
    </row>
    <row r="482" spans="1:7" ht="15.6">
      <c r="A482" s="6" t="s">
        <v>2019</v>
      </c>
      <c r="B482" s="6" t="s">
        <v>577</v>
      </c>
      <c r="C482" s="7" t="s">
        <v>1927</v>
      </c>
      <c r="D482" s="7" t="s">
        <v>2020</v>
      </c>
      <c r="E482" s="6" t="s">
        <v>998</v>
      </c>
      <c r="F482" s="7" t="s">
        <v>354</v>
      </c>
      <c r="G482" t="s">
        <v>166</v>
      </c>
    </row>
    <row r="483" spans="1:7" ht="15.6">
      <c r="A483" s="6" t="s">
        <v>2021</v>
      </c>
      <c r="B483" s="6" t="s">
        <v>577</v>
      </c>
      <c r="C483" s="7" t="s">
        <v>2022</v>
      </c>
      <c r="D483" s="7" t="s">
        <v>2023</v>
      </c>
      <c r="E483" s="6" t="s">
        <v>998</v>
      </c>
      <c r="F483" s="7" t="s">
        <v>354</v>
      </c>
      <c r="G483" t="s">
        <v>166</v>
      </c>
    </row>
    <row r="484" spans="1:7" ht="15.6">
      <c r="A484" s="6" t="s">
        <v>2024</v>
      </c>
      <c r="B484" s="6" t="s">
        <v>577</v>
      </c>
      <c r="C484" s="7" t="s">
        <v>1927</v>
      </c>
      <c r="D484" s="7" t="s">
        <v>2025</v>
      </c>
      <c r="E484" s="6" t="s">
        <v>998</v>
      </c>
      <c r="F484" s="7" t="s">
        <v>354</v>
      </c>
      <c r="G484" t="s">
        <v>166</v>
      </c>
    </row>
    <row r="485" spans="1:7" ht="15.6">
      <c r="A485" s="6" t="s">
        <v>2026</v>
      </c>
      <c r="B485" s="6" t="s">
        <v>577</v>
      </c>
      <c r="C485" s="7" t="s">
        <v>2027</v>
      </c>
      <c r="D485" s="7" t="s">
        <v>2028</v>
      </c>
      <c r="E485" s="6" t="s">
        <v>998</v>
      </c>
      <c r="F485" s="7" t="s">
        <v>354</v>
      </c>
      <c r="G485" t="s">
        <v>166</v>
      </c>
    </row>
    <row r="486" spans="1:7" ht="15.6">
      <c r="A486" s="6" t="s">
        <v>2029</v>
      </c>
      <c r="B486" s="6" t="s">
        <v>577</v>
      </c>
      <c r="C486" s="7" t="s">
        <v>628</v>
      </c>
      <c r="D486" s="7" t="s">
        <v>2030</v>
      </c>
      <c r="E486" s="6" t="s">
        <v>998</v>
      </c>
      <c r="F486" s="7" t="s">
        <v>354</v>
      </c>
      <c r="G486" t="s">
        <v>166</v>
      </c>
    </row>
    <row r="487" spans="1:7" ht="15.6">
      <c r="A487" s="6" t="s">
        <v>2031</v>
      </c>
      <c r="B487" s="6" t="s">
        <v>577</v>
      </c>
      <c r="C487" s="7" t="s">
        <v>1927</v>
      </c>
      <c r="D487" s="7" t="s">
        <v>2032</v>
      </c>
      <c r="E487" s="6" t="s">
        <v>998</v>
      </c>
      <c r="F487" s="7" t="s">
        <v>354</v>
      </c>
      <c r="G487" t="s">
        <v>166</v>
      </c>
    </row>
    <row r="488" spans="1:7" ht="15.6">
      <c r="A488" s="6" t="s">
        <v>2033</v>
      </c>
      <c r="B488" s="6" t="s">
        <v>577</v>
      </c>
      <c r="C488" s="7" t="s">
        <v>2034</v>
      </c>
      <c r="D488" s="7" t="s">
        <v>2035</v>
      </c>
      <c r="E488" s="6" t="s">
        <v>998</v>
      </c>
      <c r="F488" s="7" t="s">
        <v>354</v>
      </c>
      <c r="G488" t="s">
        <v>166</v>
      </c>
    </row>
    <row r="489" spans="1:7" ht="15.6">
      <c r="A489" s="6" t="s">
        <v>2036</v>
      </c>
      <c r="B489" s="6" t="s">
        <v>577</v>
      </c>
      <c r="C489" s="7" t="s">
        <v>2037</v>
      </c>
      <c r="D489" s="7" t="s">
        <v>2038</v>
      </c>
      <c r="E489" s="6" t="s">
        <v>998</v>
      </c>
      <c r="F489" s="7" t="s">
        <v>354</v>
      </c>
      <c r="G489" t="s">
        <v>166</v>
      </c>
    </row>
    <row r="490" spans="1:7" ht="15.6">
      <c r="A490" s="6" t="s">
        <v>2039</v>
      </c>
      <c r="B490" s="6" t="s">
        <v>651</v>
      </c>
      <c r="C490" s="7" t="s">
        <v>2040</v>
      </c>
      <c r="D490" s="7" t="s">
        <v>2041</v>
      </c>
      <c r="E490" s="6" t="s">
        <v>998</v>
      </c>
      <c r="F490" s="7" t="s">
        <v>354</v>
      </c>
      <c r="G490" t="s">
        <v>166</v>
      </c>
    </row>
    <row r="491" spans="1:7" ht="15.6">
      <c r="A491" s="6" t="s">
        <v>2042</v>
      </c>
      <c r="B491" s="6" t="s">
        <v>577</v>
      </c>
      <c r="C491" s="7" t="s">
        <v>1927</v>
      </c>
      <c r="D491" s="7" t="s">
        <v>2043</v>
      </c>
      <c r="E491" s="6" t="s">
        <v>998</v>
      </c>
      <c r="F491" s="7" t="s">
        <v>354</v>
      </c>
      <c r="G491" t="s">
        <v>166</v>
      </c>
    </row>
    <row r="492" spans="1:7" ht="15.6">
      <c r="A492" s="6" t="s">
        <v>2044</v>
      </c>
      <c r="B492" s="6" t="s">
        <v>577</v>
      </c>
      <c r="C492" s="7" t="s">
        <v>2045</v>
      </c>
      <c r="D492" s="7" t="s">
        <v>2046</v>
      </c>
      <c r="E492" s="6" t="s">
        <v>2047</v>
      </c>
      <c r="F492" s="7" t="s">
        <v>355</v>
      </c>
      <c r="G492" t="s">
        <v>166</v>
      </c>
    </row>
    <row r="493" spans="1:7" ht="15.6">
      <c r="A493" s="6" t="s">
        <v>2048</v>
      </c>
      <c r="B493" s="6" t="s">
        <v>577</v>
      </c>
      <c r="C493" s="7" t="s">
        <v>2049</v>
      </c>
      <c r="D493" s="7" t="s">
        <v>2050</v>
      </c>
      <c r="E493" s="6" t="s">
        <v>2047</v>
      </c>
      <c r="F493" s="7" t="s">
        <v>355</v>
      </c>
      <c r="G493" t="s">
        <v>166</v>
      </c>
    </row>
    <row r="494" spans="1:7" ht="15.6">
      <c r="A494" s="6" t="s">
        <v>2051</v>
      </c>
      <c r="B494" s="6" t="s">
        <v>577</v>
      </c>
      <c r="C494" s="7" t="s">
        <v>2052</v>
      </c>
      <c r="D494" s="7" t="s">
        <v>2053</v>
      </c>
      <c r="E494" s="6" t="s">
        <v>2047</v>
      </c>
      <c r="F494" s="7" t="s">
        <v>355</v>
      </c>
      <c r="G494" t="s">
        <v>166</v>
      </c>
    </row>
    <row r="495" spans="1:7" ht="15.6">
      <c r="A495" s="6" t="s">
        <v>2054</v>
      </c>
      <c r="B495" s="6" t="s">
        <v>577</v>
      </c>
      <c r="C495" s="7" t="s">
        <v>2055</v>
      </c>
      <c r="D495" s="7" t="s">
        <v>2056</v>
      </c>
      <c r="E495" s="6" t="s">
        <v>2047</v>
      </c>
      <c r="F495" s="7" t="s">
        <v>355</v>
      </c>
      <c r="G495" t="s">
        <v>166</v>
      </c>
    </row>
    <row r="496" spans="1:7" ht="15.6">
      <c r="A496" s="6" t="s">
        <v>2057</v>
      </c>
      <c r="B496" s="6" t="s">
        <v>577</v>
      </c>
      <c r="C496" s="7" t="s">
        <v>2058</v>
      </c>
      <c r="D496" s="7" t="s">
        <v>2059</v>
      </c>
      <c r="E496" s="6" t="s">
        <v>856</v>
      </c>
      <c r="F496" s="7" t="s">
        <v>501</v>
      </c>
      <c r="G496" t="s">
        <v>191</v>
      </c>
    </row>
    <row r="497" spans="1:7" ht="15.6">
      <c r="A497" s="6" t="s">
        <v>2060</v>
      </c>
      <c r="B497" s="6" t="s">
        <v>577</v>
      </c>
      <c r="C497" s="7" t="s">
        <v>2058</v>
      </c>
      <c r="D497" s="7" t="s">
        <v>2061</v>
      </c>
      <c r="E497" s="6" t="s">
        <v>856</v>
      </c>
      <c r="F497" s="7" t="s">
        <v>501</v>
      </c>
      <c r="G497" t="s">
        <v>191</v>
      </c>
    </row>
    <row r="498" spans="1:7" ht="15.6">
      <c r="A498" s="6" t="s">
        <v>2062</v>
      </c>
      <c r="B498" s="6" t="s">
        <v>577</v>
      </c>
      <c r="C498" s="7" t="s">
        <v>2063</v>
      </c>
      <c r="D498" s="7" t="s">
        <v>2064</v>
      </c>
      <c r="E498" s="6" t="s">
        <v>844</v>
      </c>
      <c r="F498" s="7" t="s">
        <v>561</v>
      </c>
      <c r="G498" t="s">
        <v>203</v>
      </c>
    </row>
    <row r="499" spans="1:7" ht="15.6">
      <c r="A499" s="6" t="s">
        <v>2065</v>
      </c>
      <c r="B499" s="6" t="s">
        <v>577</v>
      </c>
      <c r="C499" s="7" t="s">
        <v>2066</v>
      </c>
      <c r="D499" s="7" t="s">
        <v>2067</v>
      </c>
      <c r="E499" s="6" t="s">
        <v>2068</v>
      </c>
      <c r="F499" s="7" t="s">
        <v>409</v>
      </c>
      <c r="G499" t="s">
        <v>180</v>
      </c>
    </row>
    <row r="500" spans="1:7" ht="15.6">
      <c r="A500" s="6" t="s">
        <v>2069</v>
      </c>
      <c r="B500" s="6" t="s">
        <v>577</v>
      </c>
      <c r="C500" s="7" t="s">
        <v>2070</v>
      </c>
      <c r="D500" s="7" t="s">
        <v>2071</v>
      </c>
      <c r="E500" s="6" t="s">
        <v>1056</v>
      </c>
      <c r="F500" s="7" t="s">
        <v>538</v>
      </c>
      <c r="G500" t="s">
        <v>206</v>
      </c>
    </row>
    <row r="501" spans="1:7" ht="15.6">
      <c r="A501" s="6" t="s">
        <v>2072</v>
      </c>
      <c r="B501" s="6" t="s">
        <v>577</v>
      </c>
      <c r="C501" s="7" t="s">
        <v>2073</v>
      </c>
      <c r="D501" s="7" t="s">
        <v>2074</v>
      </c>
      <c r="E501" s="6" t="s">
        <v>2075</v>
      </c>
      <c r="F501" s="7" t="s">
        <v>502</v>
      </c>
      <c r="G501" t="s">
        <v>191</v>
      </c>
    </row>
    <row r="502" spans="1:7" ht="15.6">
      <c r="A502" s="6" t="s">
        <v>2076</v>
      </c>
      <c r="B502" s="6" t="s">
        <v>577</v>
      </c>
      <c r="C502" s="7" t="s">
        <v>2077</v>
      </c>
      <c r="D502" s="7" t="s">
        <v>2078</v>
      </c>
      <c r="E502" s="6" t="s">
        <v>844</v>
      </c>
      <c r="F502" s="7" t="s">
        <v>503</v>
      </c>
      <c r="G502" t="s">
        <v>191</v>
      </c>
    </row>
    <row r="503" spans="1:7" ht="15.6">
      <c r="A503" s="6" t="s">
        <v>2079</v>
      </c>
      <c r="B503" s="6" t="s">
        <v>577</v>
      </c>
      <c r="C503" s="10" t="s">
        <v>2080</v>
      </c>
      <c r="D503" s="10" t="s">
        <v>2081</v>
      </c>
      <c r="E503" s="6" t="s">
        <v>2082</v>
      </c>
      <c r="F503" s="10" t="s">
        <v>539</v>
      </c>
      <c r="G503" s="141" t="s">
        <v>206</v>
      </c>
    </row>
    <row r="504" spans="1:7" ht="15.6">
      <c r="A504" s="6" t="s">
        <v>2083</v>
      </c>
      <c r="B504" s="6" t="s">
        <v>577</v>
      </c>
      <c r="C504" s="7" t="s">
        <v>2084</v>
      </c>
      <c r="D504" s="7" t="s">
        <v>2085</v>
      </c>
      <c r="E504" s="6" t="s">
        <v>844</v>
      </c>
      <c r="F504" s="7" t="s">
        <v>539</v>
      </c>
      <c r="G504" t="s">
        <v>206</v>
      </c>
    </row>
    <row r="505" spans="1:7" ht="15.6">
      <c r="A505" s="6" t="s">
        <v>2086</v>
      </c>
      <c r="B505" s="6" t="s">
        <v>577</v>
      </c>
      <c r="C505" s="7" t="s">
        <v>2087</v>
      </c>
      <c r="D505" s="7" t="s">
        <v>2088</v>
      </c>
      <c r="E505" s="6" t="s">
        <v>727</v>
      </c>
      <c r="F505" s="7" t="s">
        <v>504</v>
      </c>
      <c r="G505" t="s">
        <v>191</v>
      </c>
    </row>
    <row r="506" spans="1:7" ht="15.6">
      <c r="A506" s="6" t="s">
        <v>2089</v>
      </c>
      <c r="B506" s="6" t="s">
        <v>577</v>
      </c>
      <c r="C506" s="7" t="s">
        <v>2090</v>
      </c>
      <c r="D506" s="7" t="s">
        <v>2091</v>
      </c>
      <c r="E506" s="6" t="s">
        <v>591</v>
      </c>
      <c r="F506" s="7" t="s">
        <v>356</v>
      </c>
      <c r="G506" t="s">
        <v>166</v>
      </c>
    </row>
    <row r="507" spans="1:7" ht="15.6">
      <c r="A507" s="6" t="s">
        <v>2092</v>
      </c>
      <c r="B507" s="6" t="s">
        <v>577</v>
      </c>
      <c r="C507" s="7" t="s">
        <v>628</v>
      </c>
      <c r="D507" s="7" t="s">
        <v>2093</v>
      </c>
      <c r="E507" s="6" t="s">
        <v>844</v>
      </c>
      <c r="F507" s="7" t="s">
        <v>540</v>
      </c>
      <c r="G507" t="s">
        <v>206</v>
      </c>
    </row>
    <row r="508" spans="1:7" ht="15.6">
      <c r="A508" s="6" t="s">
        <v>2094</v>
      </c>
      <c r="B508" s="6" t="s">
        <v>577</v>
      </c>
      <c r="C508" s="7" t="s">
        <v>2095</v>
      </c>
      <c r="D508" s="7" t="s">
        <v>2096</v>
      </c>
      <c r="E508" s="6" t="s">
        <v>1308</v>
      </c>
      <c r="F508" s="7" t="s">
        <v>357</v>
      </c>
      <c r="G508" t="s">
        <v>166</v>
      </c>
    </row>
    <row r="509" spans="1:7" ht="15.6">
      <c r="A509" s="6" t="s">
        <v>2097</v>
      </c>
      <c r="B509" s="6" t="s">
        <v>577</v>
      </c>
      <c r="C509" s="7" t="s">
        <v>2098</v>
      </c>
      <c r="D509" s="7" t="s">
        <v>2099</v>
      </c>
      <c r="E509" s="6" t="s">
        <v>1308</v>
      </c>
      <c r="F509" s="7" t="s">
        <v>357</v>
      </c>
      <c r="G509" t="s">
        <v>166</v>
      </c>
    </row>
    <row r="510" spans="1:7" ht="15.6">
      <c r="A510" s="6" t="s">
        <v>2100</v>
      </c>
      <c r="B510" s="6" t="s">
        <v>577</v>
      </c>
      <c r="C510" s="7" t="s">
        <v>2101</v>
      </c>
      <c r="D510" s="7" t="s">
        <v>2102</v>
      </c>
      <c r="E510" s="6" t="s">
        <v>591</v>
      </c>
      <c r="F510" s="7" t="s">
        <v>358</v>
      </c>
      <c r="G510" t="s">
        <v>166</v>
      </c>
    </row>
    <row r="511" spans="1:7" ht="15.6">
      <c r="A511" s="6" t="s">
        <v>2103</v>
      </c>
      <c r="B511" s="6" t="s">
        <v>577</v>
      </c>
      <c r="C511" s="7" t="s">
        <v>2104</v>
      </c>
      <c r="D511" s="7" t="s">
        <v>2105</v>
      </c>
      <c r="E511" s="6" t="s">
        <v>844</v>
      </c>
      <c r="F511" s="7" t="s">
        <v>505</v>
      </c>
      <c r="G511" t="s">
        <v>191</v>
      </c>
    </row>
    <row r="512" spans="1:7" ht="15.6">
      <c r="A512" s="6" t="s">
        <v>2106</v>
      </c>
      <c r="B512" s="6" t="s">
        <v>577</v>
      </c>
      <c r="C512" s="7" t="s">
        <v>2107</v>
      </c>
      <c r="D512" s="7" t="s">
        <v>2108</v>
      </c>
      <c r="E512" s="6" t="s">
        <v>2109</v>
      </c>
      <c r="F512" s="7" t="s">
        <v>359</v>
      </c>
      <c r="G512" t="s">
        <v>166</v>
      </c>
    </row>
    <row r="513" spans="1:7" ht="15.6">
      <c r="A513" s="6" t="s">
        <v>2110</v>
      </c>
      <c r="B513" s="6" t="s">
        <v>577</v>
      </c>
      <c r="C513" s="7" t="s">
        <v>2111</v>
      </c>
      <c r="D513" s="7" t="s">
        <v>2112</v>
      </c>
      <c r="E513" s="6" t="s">
        <v>2109</v>
      </c>
      <c r="F513" s="7" t="s">
        <v>359</v>
      </c>
      <c r="G513" t="s">
        <v>166</v>
      </c>
    </row>
    <row r="514" spans="1:7" ht="15.6">
      <c r="A514" s="6" t="s">
        <v>2113</v>
      </c>
      <c r="B514" s="6" t="s">
        <v>577</v>
      </c>
      <c r="C514" s="7" t="s">
        <v>2114</v>
      </c>
      <c r="D514" s="7" t="s">
        <v>2115</v>
      </c>
      <c r="E514" s="6" t="s">
        <v>1725</v>
      </c>
      <c r="F514" s="7" t="s">
        <v>360</v>
      </c>
      <c r="G514" t="s">
        <v>166</v>
      </c>
    </row>
    <row r="515" spans="1:7" ht="15.6">
      <c r="A515" s="6" t="s">
        <v>2116</v>
      </c>
      <c r="B515" s="6" t="s">
        <v>577</v>
      </c>
      <c r="C515" s="7" t="s">
        <v>2117</v>
      </c>
      <c r="D515" s="7" t="s">
        <v>2118</v>
      </c>
      <c r="E515" s="6" t="s">
        <v>2119</v>
      </c>
      <c r="F515" s="7" t="s">
        <v>361</v>
      </c>
      <c r="G515" t="s">
        <v>166</v>
      </c>
    </row>
    <row r="516" spans="1:7" ht="15.6">
      <c r="A516" s="6" t="s">
        <v>2120</v>
      </c>
      <c r="B516" s="6" t="s">
        <v>577</v>
      </c>
      <c r="C516" s="7" t="s">
        <v>628</v>
      </c>
      <c r="D516" s="7" t="s">
        <v>2121</v>
      </c>
      <c r="E516" s="6" t="s">
        <v>2119</v>
      </c>
      <c r="F516" s="7" t="s">
        <v>361</v>
      </c>
      <c r="G516" t="s">
        <v>166</v>
      </c>
    </row>
    <row r="517" spans="1:7" ht="15.6">
      <c r="A517" s="6" t="s">
        <v>2122</v>
      </c>
      <c r="B517" s="6" t="s">
        <v>577</v>
      </c>
      <c r="C517" s="7" t="s">
        <v>2123</v>
      </c>
      <c r="D517" s="7" t="s">
        <v>2124</v>
      </c>
      <c r="E517" s="6" t="s">
        <v>2119</v>
      </c>
      <c r="F517" s="7" t="s">
        <v>361</v>
      </c>
      <c r="G517" t="s">
        <v>166</v>
      </c>
    </row>
    <row r="518" spans="1:7" ht="15.6">
      <c r="A518" s="6" t="s">
        <v>2125</v>
      </c>
      <c r="B518" s="6" t="s">
        <v>651</v>
      </c>
      <c r="C518" s="7" t="s">
        <v>628</v>
      </c>
      <c r="D518" s="7" t="s">
        <v>2126</v>
      </c>
      <c r="E518" s="6" t="s">
        <v>2119</v>
      </c>
      <c r="F518" s="7" t="s">
        <v>361</v>
      </c>
      <c r="G518" t="s">
        <v>166</v>
      </c>
    </row>
    <row r="519" spans="1:7" ht="15.6">
      <c r="A519" s="6" t="s">
        <v>2127</v>
      </c>
      <c r="B519" s="6" t="s">
        <v>577</v>
      </c>
      <c r="C519" s="7" t="s">
        <v>628</v>
      </c>
      <c r="D519" s="7" t="s">
        <v>2128</v>
      </c>
      <c r="E519" s="6" t="s">
        <v>2119</v>
      </c>
      <c r="F519" s="7" t="s">
        <v>361</v>
      </c>
      <c r="G519" t="s">
        <v>166</v>
      </c>
    </row>
    <row r="520" spans="1:7" ht="15.6">
      <c r="A520" s="6" t="s">
        <v>2129</v>
      </c>
      <c r="B520" s="6" t="s">
        <v>577</v>
      </c>
      <c r="C520" s="7" t="s">
        <v>2117</v>
      </c>
      <c r="D520" s="7" t="s">
        <v>2130</v>
      </c>
      <c r="E520" s="6" t="s">
        <v>2119</v>
      </c>
      <c r="F520" s="7" t="s">
        <v>361</v>
      </c>
      <c r="G520" t="s">
        <v>166</v>
      </c>
    </row>
    <row r="521" spans="1:7" ht="15.6">
      <c r="A521" s="6" t="s">
        <v>1119</v>
      </c>
      <c r="B521" s="6" t="s">
        <v>577</v>
      </c>
      <c r="C521" s="7" t="s">
        <v>2131</v>
      </c>
      <c r="D521" s="7" t="s">
        <v>2132</v>
      </c>
      <c r="E521" s="6" t="s">
        <v>2119</v>
      </c>
      <c r="F521" s="7" t="s">
        <v>361</v>
      </c>
      <c r="G521" t="s">
        <v>166</v>
      </c>
    </row>
    <row r="522" spans="1:7" ht="15.6">
      <c r="A522" s="6" t="s">
        <v>2133</v>
      </c>
      <c r="B522" s="6" t="s">
        <v>577</v>
      </c>
      <c r="C522" s="7" t="s">
        <v>2134</v>
      </c>
      <c r="D522" s="7" t="s">
        <v>2135</v>
      </c>
      <c r="E522" s="6" t="s">
        <v>591</v>
      </c>
      <c r="F522" s="7" t="s">
        <v>363</v>
      </c>
      <c r="G522" t="s">
        <v>166</v>
      </c>
    </row>
    <row r="523" spans="1:7" ht="15.6">
      <c r="A523" s="6" t="s">
        <v>2136</v>
      </c>
      <c r="B523" s="6" t="s">
        <v>577</v>
      </c>
      <c r="C523" s="7" t="s">
        <v>2137</v>
      </c>
      <c r="D523" s="7" t="s">
        <v>2138</v>
      </c>
      <c r="E523" s="6" t="s">
        <v>2139</v>
      </c>
      <c r="F523" s="7" t="s">
        <v>364</v>
      </c>
      <c r="G523" t="s">
        <v>166</v>
      </c>
    </row>
    <row r="524" spans="1:7" ht="15.6">
      <c r="A524" s="6" t="s">
        <v>2140</v>
      </c>
      <c r="B524" s="6" t="s">
        <v>577</v>
      </c>
      <c r="C524" s="9" t="s">
        <v>2141</v>
      </c>
      <c r="D524" s="10" t="s">
        <v>2142</v>
      </c>
      <c r="E524" s="6" t="s">
        <v>2139</v>
      </c>
      <c r="F524" s="7" t="s">
        <v>364</v>
      </c>
      <c r="G524" t="s">
        <v>166</v>
      </c>
    </row>
    <row r="525" spans="1:7" ht="15.6">
      <c r="A525" s="6" t="s">
        <v>2143</v>
      </c>
      <c r="B525" s="6" t="s">
        <v>577</v>
      </c>
      <c r="C525" s="7" t="s">
        <v>2144</v>
      </c>
      <c r="D525" s="7" t="s">
        <v>2145</v>
      </c>
      <c r="E525" s="6" t="s">
        <v>2139</v>
      </c>
      <c r="F525" s="7" t="s">
        <v>364</v>
      </c>
      <c r="G525" t="s">
        <v>166</v>
      </c>
    </row>
    <row r="526" spans="1:7" ht="15.6">
      <c r="A526" s="6" t="s">
        <v>2146</v>
      </c>
      <c r="B526" s="6" t="s">
        <v>577</v>
      </c>
      <c r="C526" s="139" t="s">
        <v>2147</v>
      </c>
      <c r="D526" s="139" t="s">
        <v>2148</v>
      </c>
      <c r="E526" s="6" t="s">
        <v>2139</v>
      </c>
      <c r="F526" s="7" t="s">
        <v>364</v>
      </c>
      <c r="G526" t="s">
        <v>166</v>
      </c>
    </row>
    <row r="527" spans="1:7" ht="15.6">
      <c r="A527" s="6" t="s">
        <v>2149</v>
      </c>
      <c r="B527" s="6" t="s">
        <v>577</v>
      </c>
      <c r="C527" s="7" t="s">
        <v>2150</v>
      </c>
      <c r="D527" s="7" t="s">
        <v>2151</v>
      </c>
      <c r="E527" s="6" t="s">
        <v>2139</v>
      </c>
      <c r="F527" s="7" t="s">
        <v>364</v>
      </c>
      <c r="G527" t="s">
        <v>166</v>
      </c>
    </row>
    <row r="528" spans="1:7" ht="15.6">
      <c r="A528" s="6" t="s">
        <v>2152</v>
      </c>
      <c r="B528" s="6" t="s">
        <v>577</v>
      </c>
      <c r="C528" s="7" t="s">
        <v>2153</v>
      </c>
      <c r="D528" s="7" t="s">
        <v>2154</v>
      </c>
      <c r="E528" s="6" t="s">
        <v>2139</v>
      </c>
      <c r="F528" s="7" t="s">
        <v>364</v>
      </c>
      <c r="G528" t="s">
        <v>166</v>
      </c>
    </row>
    <row r="529" spans="1:7" ht="15.6">
      <c r="A529" s="6" t="s">
        <v>2155</v>
      </c>
      <c r="B529" s="6" t="s">
        <v>577</v>
      </c>
      <c r="C529" s="7" t="s">
        <v>2156</v>
      </c>
      <c r="D529" s="7" t="s">
        <v>2157</v>
      </c>
      <c r="E529" s="6" t="s">
        <v>1308</v>
      </c>
      <c r="F529" s="7" t="s">
        <v>541</v>
      </c>
      <c r="G529" t="s">
        <v>206</v>
      </c>
    </row>
    <row r="530" spans="1:7" ht="15.6">
      <c r="A530" s="6" t="s">
        <v>2158</v>
      </c>
      <c r="B530" s="6" t="s">
        <v>577</v>
      </c>
      <c r="C530" s="7" t="s">
        <v>2159</v>
      </c>
      <c r="D530" s="7" t="s">
        <v>2160</v>
      </c>
      <c r="E530" s="6" t="s">
        <v>1308</v>
      </c>
      <c r="F530" s="7" t="s">
        <v>541</v>
      </c>
      <c r="G530" t="s">
        <v>206</v>
      </c>
    </row>
    <row r="531" spans="1:7" ht="15.6">
      <c r="A531" s="6" t="s">
        <v>2161</v>
      </c>
      <c r="B531" s="6" t="s">
        <v>577</v>
      </c>
      <c r="C531" s="7" t="s">
        <v>2162</v>
      </c>
      <c r="D531" s="7" t="s">
        <v>2163</v>
      </c>
      <c r="E531" s="6" t="s">
        <v>1308</v>
      </c>
      <c r="F531" s="7" t="s">
        <v>541</v>
      </c>
      <c r="G531" t="s">
        <v>206</v>
      </c>
    </row>
    <row r="532" spans="1:7" ht="15.6">
      <c r="A532" s="6" t="s">
        <v>2164</v>
      </c>
      <c r="B532" s="6" t="s">
        <v>577</v>
      </c>
      <c r="C532" s="7" t="s">
        <v>2165</v>
      </c>
      <c r="D532" s="7" t="s">
        <v>2166</v>
      </c>
      <c r="E532" s="6" t="s">
        <v>1308</v>
      </c>
      <c r="F532" s="7" t="s">
        <v>541</v>
      </c>
      <c r="G532" t="s">
        <v>206</v>
      </c>
    </row>
    <row r="533" spans="1:7" ht="15.6">
      <c r="A533" s="6" t="s">
        <v>2167</v>
      </c>
      <c r="B533" s="6" t="s">
        <v>577</v>
      </c>
      <c r="C533" s="7" t="s">
        <v>2168</v>
      </c>
      <c r="D533" s="7" t="s">
        <v>2169</v>
      </c>
      <c r="E533" s="6" t="s">
        <v>844</v>
      </c>
      <c r="F533" s="7" t="s">
        <v>506</v>
      </c>
      <c r="G533" t="s">
        <v>191</v>
      </c>
    </row>
    <row r="534" spans="1:7" ht="15.6">
      <c r="A534" s="6" t="s">
        <v>2170</v>
      </c>
      <c r="B534" s="6" t="s">
        <v>577</v>
      </c>
      <c r="C534" s="7" t="s">
        <v>2171</v>
      </c>
      <c r="D534" s="7" t="s">
        <v>2172</v>
      </c>
      <c r="E534" s="6" t="s">
        <v>844</v>
      </c>
      <c r="F534" s="7" t="s">
        <v>506</v>
      </c>
      <c r="G534" t="s">
        <v>191</v>
      </c>
    </row>
    <row r="535" spans="1:7" ht="15.6">
      <c r="A535" s="6" t="s">
        <v>1440</v>
      </c>
      <c r="B535" s="6" t="s">
        <v>577</v>
      </c>
      <c r="C535" s="7" t="s">
        <v>1441</v>
      </c>
      <c r="D535" s="7" t="s">
        <v>2173</v>
      </c>
      <c r="E535" s="6" t="s">
        <v>2174</v>
      </c>
      <c r="F535" s="7" t="s">
        <v>402</v>
      </c>
      <c r="G535" t="s">
        <v>173</v>
      </c>
    </row>
    <row r="536" spans="1:7" ht="15.6">
      <c r="A536" s="6" t="s">
        <v>1440</v>
      </c>
      <c r="B536" s="6" t="s">
        <v>577</v>
      </c>
      <c r="C536" s="7" t="s">
        <v>628</v>
      </c>
      <c r="D536" s="7" t="s">
        <v>2173</v>
      </c>
      <c r="E536" s="6" t="s">
        <v>2175</v>
      </c>
      <c r="F536" s="7" t="s">
        <v>562</v>
      </c>
      <c r="G536" t="s">
        <v>203</v>
      </c>
    </row>
    <row r="537" spans="1:7" ht="15.6">
      <c r="A537" s="6" t="s">
        <v>2176</v>
      </c>
      <c r="B537" s="6" t="s">
        <v>577</v>
      </c>
      <c r="C537" s="7" t="s">
        <v>2177</v>
      </c>
      <c r="D537" s="7" t="s">
        <v>2178</v>
      </c>
      <c r="E537" s="6" t="s">
        <v>2175</v>
      </c>
      <c r="F537" s="7" t="s">
        <v>562</v>
      </c>
      <c r="G537" t="s">
        <v>203</v>
      </c>
    </row>
    <row r="538" spans="1:7" ht="15.6">
      <c r="A538" s="6" t="s">
        <v>2179</v>
      </c>
      <c r="B538" s="6" t="s">
        <v>577</v>
      </c>
      <c r="C538" s="7" t="s">
        <v>628</v>
      </c>
      <c r="D538" s="7" t="s">
        <v>2180</v>
      </c>
      <c r="E538" s="6" t="s">
        <v>2175</v>
      </c>
      <c r="F538" s="7" t="s">
        <v>562</v>
      </c>
      <c r="G538" t="s">
        <v>203</v>
      </c>
    </row>
    <row r="539" spans="1:7" ht="15.6">
      <c r="A539" s="6" t="s">
        <v>2181</v>
      </c>
      <c r="B539" s="6" t="s">
        <v>577</v>
      </c>
      <c r="C539" s="7" t="s">
        <v>2182</v>
      </c>
      <c r="D539" s="7" t="s">
        <v>2183</v>
      </c>
      <c r="E539" s="6" t="s">
        <v>856</v>
      </c>
      <c r="F539" s="7" t="s">
        <v>365</v>
      </c>
      <c r="G539" t="s">
        <v>166</v>
      </c>
    </row>
    <row r="540" spans="1:7" ht="15.6">
      <c r="A540" s="6" t="s">
        <v>2184</v>
      </c>
      <c r="B540" s="6" t="s">
        <v>577</v>
      </c>
      <c r="C540" s="7" t="s">
        <v>2185</v>
      </c>
      <c r="D540" s="7" t="s">
        <v>2186</v>
      </c>
      <c r="E540" s="6" t="s">
        <v>986</v>
      </c>
      <c r="F540" s="7" t="s">
        <v>366</v>
      </c>
      <c r="G540" t="s">
        <v>166</v>
      </c>
    </row>
    <row r="541" spans="1:7" ht="15.6">
      <c r="A541" s="6" t="s">
        <v>2187</v>
      </c>
      <c r="B541" s="6" t="s">
        <v>577</v>
      </c>
      <c r="C541" s="7" t="s">
        <v>2188</v>
      </c>
      <c r="D541" s="7" t="s">
        <v>2189</v>
      </c>
      <c r="E541" s="6" t="s">
        <v>2190</v>
      </c>
      <c r="F541" s="7" t="s">
        <v>368</v>
      </c>
      <c r="G541" t="s">
        <v>166</v>
      </c>
    </row>
    <row r="542" spans="1:7" ht="15.6">
      <c r="A542" s="6" t="s">
        <v>2191</v>
      </c>
      <c r="B542" s="6" t="s">
        <v>577</v>
      </c>
      <c r="C542" s="7" t="s">
        <v>2192</v>
      </c>
      <c r="D542" s="7" t="s">
        <v>2193</v>
      </c>
      <c r="E542" s="6" t="s">
        <v>2190</v>
      </c>
      <c r="F542" s="7" t="s">
        <v>368</v>
      </c>
      <c r="G542" t="s">
        <v>166</v>
      </c>
    </row>
    <row r="543" spans="1:7" ht="15.6">
      <c r="A543" s="6" t="s">
        <v>2194</v>
      </c>
      <c r="B543" s="6" t="s">
        <v>577</v>
      </c>
      <c r="C543" s="7" t="s">
        <v>2195</v>
      </c>
      <c r="D543" s="7" t="s">
        <v>2196</v>
      </c>
      <c r="E543" s="6" t="s">
        <v>2190</v>
      </c>
      <c r="F543" s="7" t="s">
        <v>368</v>
      </c>
      <c r="G543" t="s">
        <v>166</v>
      </c>
    </row>
    <row r="544" spans="1:7" ht="15.6">
      <c r="A544" s="6" t="s">
        <v>2197</v>
      </c>
      <c r="B544" s="6" t="s">
        <v>577</v>
      </c>
      <c r="C544" s="7" t="s">
        <v>2198</v>
      </c>
      <c r="D544" s="7" t="s">
        <v>2199</v>
      </c>
      <c r="E544" s="6" t="s">
        <v>2190</v>
      </c>
      <c r="F544" s="7" t="s">
        <v>368</v>
      </c>
      <c r="G544" t="s">
        <v>166</v>
      </c>
    </row>
    <row r="545" spans="1:7" ht="15.6">
      <c r="A545" s="6" t="s">
        <v>2200</v>
      </c>
      <c r="B545" s="6" t="s">
        <v>577</v>
      </c>
      <c r="C545" s="7" t="s">
        <v>2201</v>
      </c>
      <c r="D545" s="7" t="s">
        <v>2202</v>
      </c>
      <c r="E545" s="6" t="s">
        <v>2190</v>
      </c>
      <c r="F545" s="7" t="s">
        <v>368</v>
      </c>
      <c r="G545" t="s">
        <v>166</v>
      </c>
    </row>
    <row r="546" spans="1:7" ht="15.6">
      <c r="A546" s="6" t="s">
        <v>2203</v>
      </c>
      <c r="B546" s="6" t="s">
        <v>577</v>
      </c>
      <c r="C546" s="7" t="s">
        <v>2204</v>
      </c>
      <c r="D546" s="7" t="s">
        <v>2205</v>
      </c>
      <c r="E546" s="6" t="s">
        <v>2190</v>
      </c>
      <c r="F546" s="7" t="s">
        <v>368</v>
      </c>
      <c r="G546" t="s">
        <v>166</v>
      </c>
    </row>
    <row r="547" spans="1:7" ht="15.6">
      <c r="A547" s="6" t="s">
        <v>2206</v>
      </c>
      <c r="B547" s="6" t="s">
        <v>577</v>
      </c>
      <c r="C547" s="7" t="s">
        <v>2207</v>
      </c>
      <c r="D547" s="7" t="s">
        <v>2208</v>
      </c>
      <c r="E547" s="6" t="s">
        <v>2190</v>
      </c>
      <c r="F547" s="7" t="s">
        <v>368</v>
      </c>
      <c r="G547" t="s">
        <v>166</v>
      </c>
    </row>
    <row r="548" spans="1:7" ht="15.6">
      <c r="A548" s="6" t="s">
        <v>2209</v>
      </c>
      <c r="B548" s="6" t="s">
        <v>577</v>
      </c>
      <c r="C548" s="7" t="s">
        <v>2210</v>
      </c>
      <c r="D548" s="7" t="s">
        <v>2211</v>
      </c>
      <c r="E548" s="6" t="s">
        <v>2190</v>
      </c>
      <c r="F548" s="7" t="s">
        <v>368</v>
      </c>
      <c r="G548" t="s">
        <v>166</v>
      </c>
    </row>
    <row r="549" spans="1:7" ht="15.6">
      <c r="A549" s="6" t="s">
        <v>2212</v>
      </c>
      <c r="B549" s="6" t="s">
        <v>577</v>
      </c>
      <c r="C549" s="7" t="s">
        <v>2213</v>
      </c>
      <c r="D549" s="7" t="s">
        <v>2214</v>
      </c>
      <c r="E549" s="6" t="s">
        <v>2190</v>
      </c>
      <c r="F549" s="7" t="s">
        <v>368</v>
      </c>
      <c r="G549" t="s">
        <v>166</v>
      </c>
    </row>
    <row r="550" spans="1:7" ht="15.6">
      <c r="A550" s="6" t="s">
        <v>2215</v>
      </c>
      <c r="B550" s="6" t="s">
        <v>577</v>
      </c>
      <c r="C550" s="7" t="s">
        <v>2216</v>
      </c>
      <c r="D550" s="7" t="s">
        <v>2217</v>
      </c>
      <c r="E550" s="6" t="s">
        <v>2190</v>
      </c>
      <c r="F550" s="7" t="s">
        <v>368</v>
      </c>
      <c r="G550" t="s">
        <v>166</v>
      </c>
    </row>
    <row r="551" spans="1:7" ht="15.6">
      <c r="A551" s="6" t="s">
        <v>2218</v>
      </c>
      <c r="B551" s="6" t="s">
        <v>577</v>
      </c>
      <c r="C551" s="7" t="s">
        <v>2219</v>
      </c>
      <c r="D551" s="7" t="s">
        <v>2220</v>
      </c>
      <c r="E551" s="6" t="s">
        <v>2190</v>
      </c>
      <c r="F551" s="7" t="s">
        <v>368</v>
      </c>
      <c r="G551" t="s">
        <v>166</v>
      </c>
    </row>
    <row r="552" spans="1:7" ht="15.6">
      <c r="A552" s="6" t="s">
        <v>2221</v>
      </c>
      <c r="B552" s="6" t="s">
        <v>577</v>
      </c>
      <c r="C552" s="7" t="s">
        <v>2222</v>
      </c>
      <c r="D552" s="7" t="s">
        <v>2223</v>
      </c>
      <c r="E552" s="6" t="s">
        <v>2190</v>
      </c>
      <c r="F552" s="7" t="s">
        <v>368</v>
      </c>
      <c r="G552" t="s">
        <v>166</v>
      </c>
    </row>
    <row r="553" spans="1:7" ht="15.6">
      <c r="A553" s="6" t="s">
        <v>2224</v>
      </c>
      <c r="B553" s="6" t="s">
        <v>577</v>
      </c>
      <c r="C553" s="7" t="s">
        <v>2225</v>
      </c>
      <c r="D553" s="7" t="s">
        <v>2226</v>
      </c>
      <c r="E553" s="6" t="s">
        <v>2190</v>
      </c>
      <c r="F553" s="7" t="s">
        <v>368</v>
      </c>
      <c r="G553" t="s">
        <v>166</v>
      </c>
    </row>
    <row r="554" spans="1:7" ht="15.6">
      <c r="A554" s="6" t="s">
        <v>2227</v>
      </c>
      <c r="B554" s="6" t="s">
        <v>577</v>
      </c>
      <c r="C554" s="7" t="s">
        <v>628</v>
      </c>
      <c r="D554" s="7" t="s">
        <v>2228</v>
      </c>
      <c r="E554" s="6" t="s">
        <v>844</v>
      </c>
      <c r="F554" s="7" t="s">
        <v>403</v>
      </c>
      <c r="G554" t="s">
        <v>173</v>
      </c>
    </row>
    <row r="555" spans="1:7" ht="15.6">
      <c r="A555" s="6" t="s">
        <v>2229</v>
      </c>
      <c r="B555" s="6" t="s">
        <v>577</v>
      </c>
      <c r="C555" s="7" t="s">
        <v>2230</v>
      </c>
      <c r="D555" s="7" t="s">
        <v>2231</v>
      </c>
      <c r="E555" s="6" t="s">
        <v>844</v>
      </c>
      <c r="F555" s="7" t="s">
        <v>403</v>
      </c>
      <c r="G555" t="s">
        <v>173</v>
      </c>
    </row>
    <row r="556" spans="1:7" ht="15.6">
      <c r="A556" s="6" t="s">
        <v>2232</v>
      </c>
      <c r="B556" s="6" t="s">
        <v>577</v>
      </c>
      <c r="C556" s="139" t="s">
        <v>2233</v>
      </c>
      <c r="D556" s="139" t="s">
        <v>2234</v>
      </c>
      <c r="E556" s="6" t="s">
        <v>844</v>
      </c>
      <c r="F556" s="139" t="s">
        <v>542</v>
      </c>
      <c r="G556" s="53" t="s">
        <v>206</v>
      </c>
    </row>
    <row r="557" spans="1:7" ht="15.6">
      <c r="A557" s="6" t="s">
        <v>2235</v>
      </c>
      <c r="B557" s="6" t="s">
        <v>577</v>
      </c>
      <c r="C557" s="139" t="s">
        <v>1952</v>
      </c>
      <c r="D557" s="140" t="s">
        <v>1953</v>
      </c>
      <c r="E557" s="6" t="s">
        <v>905</v>
      </c>
      <c r="F557" s="7" t="s">
        <v>404</v>
      </c>
      <c r="G557" t="s">
        <v>173</v>
      </c>
    </row>
    <row r="558" spans="1:7" ht="15.6">
      <c r="A558" s="6" t="s">
        <v>2236</v>
      </c>
      <c r="B558" s="6"/>
      <c r="D558" t="s">
        <v>2237</v>
      </c>
      <c r="E558" s="6" t="s">
        <v>625</v>
      </c>
      <c r="F558" s="140" t="s">
        <v>221</v>
      </c>
      <c r="G558" s="6" t="s">
        <v>166</v>
      </c>
    </row>
    <row r="559" spans="1:7" ht="15.6">
      <c r="A559" s="6" t="s">
        <v>2238</v>
      </c>
      <c r="B559" s="156" t="s">
        <v>577</v>
      </c>
      <c r="C559" s="7" t="s">
        <v>2239</v>
      </c>
      <c r="D559" t="s">
        <v>2240</v>
      </c>
      <c r="E559" s="156" t="s">
        <v>2241</v>
      </c>
      <c r="F559" s="140" t="s">
        <v>369</v>
      </c>
      <c r="G559" s="3" t="s">
        <v>166</v>
      </c>
    </row>
    <row r="560" spans="1:7" ht="15.6">
      <c r="A560" s="6" t="s">
        <v>2242</v>
      </c>
      <c r="B560" s="156" t="s">
        <v>577</v>
      </c>
      <c r="C560" s="162" t="s">
        <v>2243</v>
      </c>
      <c r="D560" t="s">
        <v>2244</v>
      </c>
      <c r="E560" s="156" t="s">
        <v>2245</v>
      </c>
      <c r="F560" t="s">
        <v>563</v>
      </c>
      <c r="G560" t="s">
        <v>173</v>
      </c>
    </row>
    <row r="561" spans="1:7" ht="15.6">
      <c r="A561" s="6" t="s">
        <v>2246</v>
      </c>
      <c r="B561" s="156" t="s">
        <v>577</v>
      </c>
      <c r="C561">
        <v>33630156</v>
      </c>
      <c r="D561" s="163" t="s">
        <v>2247</v>
      </c>
      <c r="E561" s="164" t="s">
        <v>2248</v>
      </c>
      <c r="F561" t="s">
        <v>539</v>
      </c>
      <c r="G561" t="s">
        <v>206</v>
      </c>
    </row>
    <row r="562" spans="1:7" ht="28.8">
      <c r="A562" s="6" t="s">
        <v>2249</v>
      </c>
      <c r="B562" s="156" t="s">
        <v>577</v>
      </c>
      <c r="C562" t="s">
        <v>2250</v>
      </c>
      <c r="D562" s="165" t="s">
        <v>2251</v>
      </c>
      <c r="E562" s="166" t="s">
        <v>2252</v>
      </c>
      <c r="F562" t="s">
        <v>565</v>
      </c>
      <c r="G562" t="s">
        <v>149</v>
      </c>
    </row>
    <row r="563" spans="1:7" ht="15.6">
      <c r="A563" s="6" t="s">
        <v>2253</v>
      </c>
      <c r="B563" s="156" t="s">
        <v>577</v>
      </c>
      <c r="C563" s="167">
        <v>97339901998</v>
      </c>
      <c r="D563" s="163" t="s">
        <v>2254</v>
      </c>
      <c r="E563" s="166" t="s">
        <v>2252</v>
      </c>
      <c r="F563" t="s">
        <v>404</v>
      </c>
      <c r="G563" t="s">
        <v>203</v>
      </c>
    </row>
    <row r="564" spans="1:7" ht="15.6">
      <c r="A564" s="6" t="s">
        <v>2253</v>
      </c>
      <c r="B564" s="156" t="s">
        <v>577</v>
      </c>
      <c r="C564" s="167">
        <v>97339901998</v>
      </c>
      <c r="D564" s="163" t="s">
        <v>2254</v>
      </c>
      <c r="E564" s="166" t="s">
        <v>2252</v>
      </c>
      <c r="F564" s="168" t="s">
        <v>225</v>
      </c>
      <c r="G564" t="s">
        <v>200</v>
      </c>
    </row>
    <row r="565" spans="1:7" ht="15.6">
      <c r="A565" s="6" t="s">
        <v>1762</v>
      </c>
    </row>
    <row r="566" spans="1:7" ht="15.6">
      <c r="A566" s="172" t="s">
        <v>2255</v>
      </c>
      <c r="B566" s="156" t="s">
        <v>577</v>
      </c>
      <c r="C566">
        <v>97339374381</v>
      </c>
      <c r="D566" t="s">
        <v>2256</v>
      </c>
      <c r="E566" s="166" t="s">
        <v>2252</v>
      </c>
      <c r="G566" t="s">
        <v>206</v>
      </c>
    </row>
    <row r="567" spans="1:7" ht="15.6">
      <c r="A567" s="6" t="s">
        <v>2257</v>
      </c>
      <c r="B567" s="156" t="s">
        <v>577</v>
      </c>
      <c r="C567" t="s">
        <v>2258</v>
      </c>
      <c r="D567" s="163" t="s">
        <v>2259</v>
      </c>
      <c r="E567" s="166" t="s">
        <v>2252</v>
      </c>
      <c r="F567" t="s">
        <v>543</v>
      </c>
      <c r="G567" t="s">
        <v>206</v>
      </c>
    </row>
    <row r="568" spans="1:7" ht="15.6">
      <c r="A568" s="6" t="s">
        <v>2260</v>
      </c>
      <c r="B568" s="156" t="s">
        <v>651</v>
      </c>
      <c r="C568" s="173" t="s">
        <v>2261</v>
      </c>
      <c r="D568" s="163" t="s">
        <v>2262</v>
      </c>
      <c r="E568" s="166" t="s">
        <v>2252</v>
      </c>
      <c r="F568" t="s">
        <v>544</v>
      </c>
      <c r="G568" t="s">
        <v>206</v>
      </c>
    </row>
    <row r="569" spans="1:7" ht="15.6">
      <c r="A569" s="6" t="s">
        <v>2263</v>
      </c>
      <c r="B569" s="156" t="s">
        <v>577</v>
      </c>
      <c r="C569" t="s">
        <v>2264</v>
      </c>
      <c r="D569" s="174" t="s">
        <v>2265</v>
      </c>
      <c r="E569" s="166" t="s">
        <v>2252</v>
      </c>
      <c r="F569" t="s">
        <v>330</v>
      </c>
      <c r="G569" t="s">
        <v>166</v>
      </c>
    </row>
    <row r="570" spans="1:7" ht="15.6">
      <c r="A570" s="6" t="s">
        <v>2266</v>
      </c>
      <c r="B570" s="156" t="s">
        <v>577</v>
      </c>
      <c r="C570" t="s">
        <v>2267</v>
      </c>
      <c r="D570" s="163" t="s">
        <v>2268</v>
      </c>
      <c r="E570" s="166" t="s">
        <v>2252</v>
      </c>
      <c r="F570" t="s">
        <v>477</v>
      </c>
      <c r="G570" t="s">
        <v>191</v>
      </c>
    </row>
    <row r="571" spans="1:7" ht="15.6">
      <c r="A571" s="6" t="s">
        <v>2269</v>
      </c>
      <c r="B571" s="156" t="s">
        <v>577</v>
      </c>
      <c r="C571" s="175" t="s">
        <v>2270</v>
      </c>
      <c r="D571" s="163" t="s">
        <v>2271</v>
      </c>
      <c r="E571" s="166" t="s">
        <v>2272</v>
      </c>
      <c r="F571" t="s">
        <v>567</v>
      </c>
      <c r="G571" t="s">
        <v>173</v>
      </c>
    </row>
    <row r="572" spans="1:7" ht="15.6">
      <c r="A572" s="6" t="s">
        <v>1707</v>
      </c>
      <c r="B572" s="156" t="s">
        <v>2273</v>
      </c>
      <c r="C572">
        <v>97338260157</v>
      </c>
      <c r="D572" s="163" t="s">
        <v>171</v>
      </c>
      <c r="E572" s="166" t="s">
        <v>2252</v>
      </c>
      <c r="F572" t="s">
        <v>139</v>
      </c>
      <c r="G572" t="s">
        <v>191</v>
      </c>
    </row>
    <row r="573" spans="1:7" ht="15.6">
      <c r="A573" s="6" t="s">
        <v>2274</v>
      </c>
      <c r="B573" s="156" t="s">
        <v>577</v>
      </c>
      <c r="C573" s="175" t="s">
        <v>2275</v>
      </c>
      <c r="D573" s="163" t="s">
        <v>2276</v>
      </c>
      <c r="E573" s="134" t="s">
        <v>2277</v>
      </c>
      <c r="F573" t="s">
        <v>569</v>
      </c>
      <c r="G573" t="s">
        <v>203</v>
      </c>
    </row>
    <row r="574" spans="1:7" ht="15.6">
      <c r="A574" s="6" t="s">
        <v>2278</v>
      </c>
      <c r="B574" s="156" t="s">
        <v>577</v>
      </c>
      <c r="C574">
        <v>97336122131</v>
      </c>
      <c r="D574" t="s">
        <v>2279</v>
      </c>
      <c r="E574" s="166" t="s">
        <v>2252</v>
      </c>
      <c r="F574" t="s">
        <v>545</v>
      </c>
      <c r="G574" t="s">
        <v>206</v>
      </c>
    </row>
    <row r="575" spans="1:7" ht="15.6">
      <c r="A575" s="6" t="s">
        <v>2280</v>
      </c>
      <c r="B575" s="156" t="s">
        <v>577</v>
      </c>
      <c r="C575">
        <v>97338766777</v>
      </c>
      <c r="D575" s="163" t="s">
        <v>2281</v>
      </c>
      <c r="E575" s="134" t="s">
        <v>2282</v>
      </c>
      <c r="F575" t="s">
        <v>571</v>
      </c>
      <c r="G575" t="s">
        <v>206</v>
      </c>
    </row>
    <row r="576" spans="1:7" ht="15.6">
      <c r="A576" s="185" t="s">
        <v>2284</v>
      </c>
      <c r="B576" s="156" t="s">
        <v>577</v>
      </c>
      <c r="C576" s="186" t="s">
        <v>2285</v>
      </c>
      <c r="D576" t="s">
        <v>2286</v>
      </c>
      <c r="E576" s="166" t="s">
        <v>2287</v>
      </c>
      <c r="F576" s="3" t="s">
        <v>2288</v>
      </c>
      <c r="G576" t="s">
        <v>191</v>
      </c>
    </row>
  </sheetData>
  <autoFilter ref="A1:H555" xr:uid="{4F8BBE62-06D2-4D52-B25B-AF781B0402F5}">
    <sortState xmlns:xlrd2="http://schemas.microsoft.com/office/spreadsheetml/2017/richdata2" ref="A2:H557">
      <sortCondition ref="A1:A555"/>
    </sortState>
  </autoFilter>
  <sortState xmlns:xlrd2="http://schemas.microsoft.com/office/spreadsheetml/2017/richdata2" ref="A2:H557">
    <sortCondition ref="F2:F557"/>
    <sortCondition ref="A2:A557"/>
  </sortState>
  <dataValidations count="1">
    <dataValidation allowBlank="1" showInputMessage="1" showErrorMessage="1" prompt="Al Madar General Trading W.L.L" sqref="F564" xr:uid="{38E7EC47-95C7-4EB5-B25F-575C12FFA04D}"/>
  </dataValidations>
  <hyperlinks>
    <hyperlink ref="D561" r:id="rId1" xr:uid="{E66423BD-BC2C-46E1-B6C3-E1218249F6ED}"/>
    <hyperlink ref="D563" r:id="rId2" xr:uid="{84A367CE-B150-49F8-A58B-EDEEA282C3D8}"/>
    <hyperlink ref="D564" r:id="rId3" xr:uid="{90EE49FC-BBB6-4EC9-9913-72FA70153E4B}"/>
    <hyperlink ref="D567" r:id="rId4" xr:uid="{72806209-841B-4902-83B2-E73426E8F271}"/>
    <hyperlink ref="D568" r:id="rId5" xr:uid="{81256A34-2FF1-4AB4-809D-95E4F88873D4}"/>
    <hyperlink ref="D569" r:id="rId6" display="mailto:YusufHE@works.gov.bh" xr:uid="{694B18FF-6F43-4303-A213-850EC381421B}"/>
    <hyperlink ref="D570" r:id="rId7" display="mailto:info@omnibahrain.com" xr:uid="{F1BB5489-8887-4578-B806-C0ACA8F5E480}"/>
    <hyperlink ref="D571" r:id="rId8" xr:uid="{4DDE59BC-056E-4DE1-957B-C0F07D0DC1FB}"/>
    <hyperlink ref="D572" r:id="rId9" xr:uid="{D80D617A-1960-46C7-932C-4BD04C0F104E}"/>
    <hyperlink ref="D573" r:id="rId10" xr:uid="{2EDCB8E1-B463-43B6-8E28-831DD6E8D3BC}"/>
    <hyperlink ref="D575" r:id="rId11" xr:uid="{16C92E72-2988-41CF-9905-C03A8FB7ADE5}"/>
  </hyperlinks>
  <pageMargins left="0.7" right="0.7" top="0.75" bottom="0.75" header="0.3" footer="0.3"/>
  <pageSetup orientation="portrait" r:id="rId12"/>
  <extLst>
    <ext xmlns:x14="http://schemas.microsoft.com/office/spreadsheetml/2009/9/main" uri="{CCE6A557-97BC-4b89-ADB6-D9C93CAAB3DF}">
      <x14:dataValidations xmlns:xm="http://schemas.microsoft.com/office/excel/2006/main" count="2">
        <x14:dataValidation type="list" allowBlank="1" showInputMessage="1" showErrorMessage="1" xr:uid="{B6B28D1F-D365-4116-AB2F-71F02DEEAC60}">
          <x14:formula1>
            <xm:f>Code!$M$1:$M$12</xm:f>
          </x14:formula1>
          <xm:sqref>G1:G562 G565:G570 G572:G1048576</xm:sqref>
        </x14:dataValidation>
        <x14:dataValidation type="list" allowBlank="1" showInputMessage="1" showErrorMessage="1" xr:uid="{587CECBA-6E04-4EB9-A9CB-46D04150825D}">
          <x14:formula1>
            <xm:f>Code!$G:$G</xm:f>
          </x14:formula1>
          <xm:sqref>F1:F562 F565:F570 F572:F575 F577:F1048576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Final Quotation</vt:lpstr>
      <vt:lpstr>Customer Costing</vt:lpstr>
      <vt:lpstr>Internal Quotation</vt:lpstr>
      <vt:lpstr>PH to AHS</vt:lpstr>
      <vt:lpstr>Code</vt:lpstr>
      <vt:lpstr>Customer Database</vt:lpstr>
      <vt:lpstr>Image1</vt:lpstr>
      <vt:lpstr>Image2</vt:lpstr>
      <vt:lpstr>'Final Quotation'!Print_Area</vt:lpstr>
      <vt:lpstr>'Internal Quotation'!Print_Area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Periyasamy Neelakandan</cp:lastModifiedBy>
  <cp:revision/>
  <dcterms:created xsi:type="dcterms:W3CDTF">2024-12-31T10:14:58Z</dcterms:created>
  <dcterms:modified xsi:type="dcterms:W3CDTF">2026-03-16T11:36:29Z</dcterms:modified>
  <cp:category/>
  <cp:contentStatus/>
</cp:coreProperties>
</file>